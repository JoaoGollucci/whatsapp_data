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uporte\Desktop\"/>
    </mc:Choice>
  </mc:AlternateContent>
  <xr:revisionPtr revIDLastSave="0" documentId="13_ncr:1_{B57AC173-1181-4339-B7C3-24834D1F4C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Tech e Cross" sheetId="2" r:id="rId2"/>
    <sheet name="import" sheetId="3" state="hidden" r:id="rId3"/>
  </sheets>
  <definedNames>
    <definedName name="_xlnm._FilterDatabase" localSheetId="0" hidden="1">Sheet1!$A$1:$Y$430</definedName>
    <definedName name="_xlnm._FilterDatabase" localSheetId="1" hidden="1">'Tech e Cross'!$A$1:$F$80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5" i="3" l="1"/>
  <c r="C475" i="3"/>
  <c r="B475" i="3"/>
  <c r="A475" i="3"/>
  <c r="F474" i="3"/>
  <c r="E474" i="3"/>
  <c r="D474" i="3"/>
  <c r="C474" i="3"/>
  <c r="B474" i="3"/>
  <c r="A474" i="3"/>
  <c r="F473" i="3"/>
  <c r="E473" i="3"/>
  <c r="D473" i="3"/>
  <c r="C473" i="3"/>
  <c r="B473" i="3"/>
  <c r="A473" i="3"/>
  <c r="F472" i="3"/>
  <c r="E472" i="3"/>
  <c r="D472" i="3"/>
  <c r="C472" i="3"/>
  <c r="B472" i="3"/>
  <c r="A472" i="3"/>
  <c r="F471" i="3"/>
  <c r="E471" i="3"/>
  <c r="D471" i="3"/>
  <c r="C471" i="3"/>
  <c r="B471" i="3"/>
  <c r="A471" i="3"/>
  <c r="F470" i="3"/>
  <c r="E470" i="3"/>
  <c r="D470" i="3"/>
  <c r="C470" i="3"/>
  <c r="B470" i="3"/>
  <c r="A470" i="3"/>
  <c r="F469" i="3"/>
  <c r="E469" i="3"/>
  <c r="D469" i="3"/>
  <c r="C469" i="3"/>
  <c r="B469" i="3"/>
  <c r="A469" i="3"/>
  <c r="D468" i="3"/>
  <c r="C468" i="3"/>
  <c r="B468" i="3"/>
  <c r="A468" i="3"/>
  <c r="F467" i="3"/>
  <c r="E467" i="3"/>
  <c r="D467" i="3"/>
  <c r="C467" i="3"/>
  <c r="B467" i="3"/>
  <c r="A467" i="3"/>
  <c r="F466" i="3"/>
  <c r="E466" i="3"/>
  <c r="D466" i="3"/>
  <c r="C466" i="3"/>
  <c r="B466" i="3"/>
  <c r="A466" i="3"/>
  <c r="F465" i="3"/>
  <c r="E465" i="3"/>
  <c r="D465" i="3"/>
  <c r="C465" i="3"/>
  <c r="B465" i="3"/>
  <c r="A465" i="3"/>
  <c r="D464" i="3"/>
  <c r="C464" i="3"/>
  <c r="B464" i="3"/>
  <c r="A464" i="3"/>
  <c r="F463" i="3"/>
  <c r="E463" i="3"/>
  <c r="D463" i="3"/>
  <c r="C463" i="3"/>
  <c r="B463" i="3"/>
  <c r="A463" i="3"/>
  <c r="D462" i="3"/>
  <c r="C462" i="3"/>
  <c r="B462" i="3"/>
  <c r="A462" i="3"/>
  <c r="F461" i="3"/>
  <c r="E461" i="3"/>
  <c r="D461" i="3"/>
  <c r="C461" i="3"/>
  <c r="B461" i="3"/>
  <c r="A461" i="3"/>
  <c r="F460" i="3"/>
  <c r="E460" i="3"/>
  <c r="D460" i="3"/>
  <c r="C460" i="3"/>
  <c r="B460" i="3"/>
  <c r="A460" i="3"/>
  <c r="F459" i="3"/>
  <c r="E459" i="3"/>
  <c r="D459" i="3"/>
  <c r="C459" i="3"/>
  <c r="B459" i="3"/>
  <c r="A459" i="3"/>
  <c r="F458" i="3"/>
  <c r="E458" i="3"/>
  <c r="D458" i="3"/>
  <c r="C458" i="3"/>
  <c r="B458" i="3"/>
  <c r="A458" i="3"/>
  <c r="F457" i="3"/>
  <c r="E457" i="3"/>
  <c r="D457" i="3"/>
  <c r="C457" i="3"/>
  <c r="B457" i="3"/>
  <c r="A457" i="3"/>
  <c r="F456" i="3"/>
  <c r="E456" i="3"/>
  <c r="D456" i="3"/>
  <c r="C456" i="3"/>
  <c r="B456" i="3"/>
  <c r="A456" i="3"/>
  <c r="F455" i="3"/>
  <c r="E455" i="3"/>
  <c r="D455" i="3"/>
  <c r="C455" i="3"/>
  <c r="B455" i="3"/>
  <c r="A455" i="3"/>
  <c r="D454" i="3"/>
  <c r="C454" i="3"/>
  <c r="B454" i="3"/>
  <c r="A454" i="3"/>
  <c r="D453" i="3"/>
  <c r="C453" i="3"/>
  <c r="B453" i="3"/>
  <c r="A453" i="3"/>
  <c r="F452" i="3"/>
  <c r="E452" i="3"/>
  <c r="D452" i="3"/>
  <c r="C452" i="3"/>
  <c r="B452" i="3"/>
  <c r="A452" i="3"/>
  <c r="D451" i="3"/>
  <c r="C451" i="3"/>
  <c r="B451" i="3"/>
  <c r="A451" i="3"/>
  <c r="F450" i="3"/>
  <c r="E450" i="3"/>
  <c r="D450" i="3"/>
  <c r="C450" i="3"/>
  <c r="B450" i="3"/>
  <c r="A450" i="3"/>
  <c r="F449" i="3"/>
  <c r="E449" i="3"/>
  <c r="D449" i="3"/>
  <c r="C449" i="3"/>
  <c r="B449" i="3"/>
  <c r="A449" i="3"/>
  <c r="F448" i="3"/>
  <c r="E448" i="3"/>
  <c r="D448" i="3"/>
  <c r="C448" i="3"/>
  <c r="B448" i="3"/>
  <c r="A448" i="3"/>
  <c r="D447" i="3"/>
  <c r="C447" i="3"/>
  <c r="B447" i="3"/>
  <c r="A447" i="3"/>
  <c r="F446" i="3"/>
  <c r="E446" i="3"/>
  <c r="D446" i="3"/>
  <c r="C446" i="3"/>
  <c r="B446" i="3"/>
  <c r="A446" i="3"/>
  <c r="F445" i="3"/>
  <c r="E445" i="3"/>
  <c r="D445" i="3"/>
  <c r="C445" i="3"/>
  <c r="B445" i="3"/>
  <c r="A445" i="3"/>
  <c r="D444" i="3"/>
  <c r="C444" i="3"/>
  <c r="B444" i="3"/>
  <c r="A444" i="3"/>
  <c r="F443" i="3"/>
  <c r="E443" i="3"/>
  <c r="D443" i="3"/>
  <c r="C443" i="3"/>
  <c r="B443" i="3"/>
  <c r="A443" i="3"/>
  <c r="F442" i="3"/>
  <c r="E442" i="3"/>
  <c r="D442" i="3"/>
  <c r="C442" i="3"/>
  <c r="B442" i="3"/>
  <c r="A442" i="3"/>
  <c r="F441" i="3"/>
  <c r="E441" i="3"/>
  <c r="D441" i="3"/>
  <c r="C441" i="3"/>
  <c r="B441" i="3"/>
  <c r="A441" i="3"/>
  <c r="F440" i="3"/>
  <c r="E440" i="3"/>
  <c r="D440" i="3"/>
  <c r="C440" i="3"/>
  <c r="B440" i="3"/>
  <c r="A440" i="3"/>
  <c r="D439" i="3"/>
  <c r="C439" i="3"/>
  <c r="B439" i="3"/>
  <c r="A439" i="3"/>
  <c r="F438" i="3"/>
  <c r="E438" i="3"/>
  <c r="D438" i="3"/>
  <c r="C438" i="3"/>
  <c r="B438" i="3"/>
  <c r="A438" i="3"/>
  <c r="F437" i="3"/>
  <c r="E437" i="3"/>
  <c r="D437" i="3"/>
  <c r="C437" i="3"/>
  <c r="B437" i="3"/>
  <c r="A437" i="3"/>
  <c r="F436" i="3"/>
  <c r="E436" i="3"/>
  <c r="D436" i="3"/>
  <c r="C436" i="3"/>
  <c r="B436" i="3"/>
  <c r="A436" i="3"/>
  <c r="D435" i="3"/>
  <c r="C435" i="3"/>
  <c r="B435" i="3"/>
  <c r="A435" i="3"/>
  <c r="F434" i="3"/>
  <c r="E434" i="3"/>
  <c r="D434" i="3"/>
  <c r="C434" i="3"/>
  <c r="B434" i="3"/>
  <c r="A434" i="3"/>
  <c r="D433" i="3"/>
  <c r="C433" i="3"/>
  <c r="B433" i="3"/>
  <c r="A433" i="3"/>
  <c r="F432" i="3"/>
  <c r="D432" i="3"/>
  <c r="C432" i="3"/>
  <c r="B432" i="3"/>
  <c r="A432" i="3"/>
  <c r="F431" i="3"/>
  <c r="E431" i="3"/>
  <c r="D431" i="3"/>
  <c r="C431" i="3"/>
  <c r="B431" i="3"/>
  <c r="A431" i="3"/>
  <c r="F430" i="3"/>
  <c r="E430" i="3"/>
  <c r="D430" i="3"/>
  <c r="C430" i="3"/>
  <c r="B430" i="3"/>
  <c r="A430" i="3"/>
  <c r="F429" i="3"/>
  <c r="E429" i="3"/>
  <c r="D429" i="3"/>
  <c r="C429" i="3"/>
  <c r="B429" i="3"/>
  <c r="A429" i="3"/>
  <c r="F428" i="3"/>
  <c r="E428" i="3"/>
  <c r="D428" i="3"/>
  <c r="C428" i="3"/>
  <c r="B428" i="3"/>
  <c r="A428" i="3"/>
  <c r="D427" i="3"/>
  <c r="C427" i="3"/>
  <c r="B427" i="3"/>
  <c r="A427" i="3"/>
  <c r="D426" i="3"/>
  <c r="C426" i="3"/>
  <c r="B426" i="3"/>
  <c r="A426" i="3"/>
  <c r="E425" i="3"/>
  <c r="D425" i="3"/>
  <c r="C425" i="3"/>
  <c r="B425" i="3"/>
  <c r="A425" i="3"/>
  <c r="F424" i="3"/>
  <c r="E424" i="3"/>
  <c r="D424" i="3"/>
  <c r="C424" i="3"/>
  <c r="B424" i="3"/>
  <c r="A424" i="3"/>
  <c r="F423" i="3"/>
  <c r="E423" i="3"/>
  <c r="D423" i="3"/>
  <c r="C423" i="3"/>
  <c r="B423" i="3"/>
  <c r="A423" i="3"/>
  <c r="F422" i="3"/>
  <c r="E422" i="3"/>
  <c r="D422" i="3"/>
  <c r="C422" i="3"/>
  <c r="B422" i="3"/>
  <c r="A422" i="3"/>
  <c r="D421" i="3"/>
  <c r="C421" i="3"/>
  <c r="B421" i="3"/>
  <c r="A421" i="3"/>
  <c r="F420" i="3"/>
  <c r="E420" i="3"/>
  <c r="D420" i="3"/>
  <c r="C420" i="3"/>
  <c r="B420" i="3"/>
  <c r="A420" i="3"/>
  <c r="F419" i="3"/>
  <c r="E419" i="3"/>
  <c r="D419" i="3"/>
  <c r="C419" i="3"/>
  <c r="B419" i="3"/>
  <c r="A419" i="3"/>
  <c r="D418" i="3"/>
  <c r="C418" i="3"/>
  <c r="B418" i="3"/>
  <c r="A418" i="3"/>
  <c r="F417" i="3"/>
  <c r="E417" i="3"/>
  <c r="D417" i="3"/>
  <c r="C417" i="3"/>
  <c r="B417" i="3"/>
  <c r="A417" i="3"/>
  <c r="D416" i="3"/>
  <c r="C416" i="3"/>
  <c r="B416" i="3"/>
  <c r="A416" i="3"/>
  <c r="D415" i="3"/>
  <c r="C415" i="3"/>
  <c r="B415" i="3"/>
  <c r="A415" i="3"/>
  <c r="D414" i="3"/>
  <c r="C414" i="3"/>
  <c r="B414" i="3"/>
  <c r="A414" i="3"/>
  <c r="F413" i="3"/>
  <c r="E413" i="3"/>
  <c r="D413" i="3"/>
  <c r="C413" i="3"/>
  <c r="B413" i="3"/>
  <c r="A413" i="3"/>
  <c r="F412" i="3"/>
  <c r="E412" i="3"/>
  <c r="D412" i="3"/>
  <c r="C412" i="3"/>
  <c r="B412" i="3"/>
  <c r="A412" i="3"/>
  <c r="F411" i="3"/>
  <c r="E411" i="3"/>
  <c r="D411" i="3"/>
  <c r="C411" i="3"/>
  <c r="B411" i="3"/>
  <c r="A411" i="3"/>
  <c r="F410" i="3"/>
  <c r="E410" i="3"/>
  <c r="D410" i="3"/>
  <c r="C410" i="3"/>
  <c r="B410" i="3"/>
  <c r="A410" i="3"/>
  <c r="F409" i="3"/>
  <c r="E409" i="3"/>
  <c r="D409" i="3"/>
  <c r="C409" i="3"/>
  <c r="B409" i="3"/>
  <c r="A409" i="3"/>
  <c r="F408" i="3"/>
  <c r="E408" i="3"/>
  <c r="D408" i="3"/>
  <c r="C408" i="3"/>
  <c r="B408" i="3"/>
  <c r="A408" i="3"/>
  <c r="F407" i="3"/>
  <c r="E407" i="3"/>
  <c r="D407" i="3"/>
  <c r="C407" i="3"/>
  <c r="B407" i="3"/>
  <c r="A407" i="3"/>
  <c r="F406" i="3"/>
  <c r="E406" i="3"/>
  <c r="D406" i="3"/>
  <c r="C406" i="3"/>
  <c r="B406" i="3"/>
  <c r="A406" i="3"/>
  <c r="D405" i="3"/>
  <c r="C405" i="3"/>
  <c r="B405" i="3"/>
  <c r="A405" i="3"/>
  <c r="F404" i="3"/>
  <c r="E404" i="3"/>
  <c r="D404" i="3"/>
  <c r="C404" i="3"/>
  <c r="B404" i="3"/>
  <c r="A404" i="3"/>
  <c r="F403" i="3"/>
  <c r="E403" i="3"/>
  <c r="D403" i="3"/>
  <c r="C403" i="3"/>
  <c r="B403" i="3"/>
  <c r="A403" i="3"/>
  <c r="D402" i="3"/>
  <c r="C402" i="3"/>
  <c r="B402" i="3"/>
  <c r="A402" i="3"/>
  <c r="F401" i="3"/>
  <c r="E401" i="3"/>
  <c r="D401" i="3"/>
  <c r="C401" i="3"/>
  <c r="B401" i="3"/>
  <c r="A401" i="3"/>
  <c r="F400" i="3"/>
  <c r="E400" i="3"/>
  <c r="D400" i="3"/>
  <c r="C400" i="3"/>
  <c r="B400" i="3"/>
  <c r="A400" i="3"/>
  <c r="F399" i="3"/>
  <c r="E399" i="3"/>
  <c r="D399" i="3"/>
  <c r="C399" i="3"/>
  <c r="B399" i="3"/>
  <c r="A399" i="3"/>
  <c r="F398" i="3"/>
  <c r="E398" i="3"/>
  <c r="D398" i="3"/>
  <c r="C398" i="3"/>
  <c r="B398" i="3"/>
  <c r="A398" i="3"/>
  <c r="F397" i="3"/>
  <c r="E397" i="3"/>
  <c r="D397" i="3"/>
  <c r="C397" i="3"/>
  <c r="B397" i="3"/>
  <c r="A397" i="3"/>
  <c r="D396" i="3"/>
  <c r="C396" i="3"/>
  <c r="B396" i="3"/>
  <c r="A396" i="3"/>
  <c r="F395" i="3"/>
  <c r="E395" i="3"/>
  <c r="D395" i="3"/>
  <c r="C395" i="3"/>
  <c r="B395" i="3"/>
  <c r="A395" i="3"/>
  <c r="F394" i="3"/>
  <c r="E394" i="3"/>
  <c r="D394" i="3"/>
  <c r="C394" i="3"/>
  <c r="B394" i="3"/>
  <c r="A394" i="3"/>
  <c r="F393" i="3"/>
  <c r="E393" i="3"/>
  <c r="D393" i="3"/>
  <c r="C393" i="3"/>
  <c r="B393" i="3"/>
  <c r="A393" i="3"/>
  <c r="F392" i="3"/>
  <c r="E392" i="3"/>
  <c r="D392" i="3"/>
  <c r="C392" i="3"/>
  <c r="B392" i="3"/>
  <c r="A392" i="3"/>
  <c r="F391" i="3"/>
  <c r="E391" i="3"/>
  <c r="D391" i="3"/>
  <c r="C391" i="3"/>
  <c r="B391" i="3"/>
  <c r="A391" i="3"/>
  <c r="F390" i="3"/>
  <c r="E390" i="3"/>
  <c r="D390" i="3"/>
  <c r="C390" i="3"/>
  <c r="B390" i="3"/>
  <c r="A390" i="3"/>
  <c r="D389" i="3"/>
  <c r="C389" i="3"/>
  <c r="B389" i="3"/>
  <c r="A389" i="3"/>
  <c r="D388" i="3"/>
  <c r="C388" i="3"/>
  <c r="B388" i="3"/>
  <c r="A388" i="3"/>
  <c r="D387" i="3"/>
  <c r="C387" i="3"/>
  <c r="B387" i="3"/>
  <c r="A387" i="3"/>
  <c r="F386" i="3"/>
  <c r="E386" i="3"/>
  <c r="D386" i="3"/>
  <c r="C386" i="3"/>
  <c r="B386" i="3"/>
  <c r="A386" i="3"/>
  <c r="F385" i="3"/>
  <c r="E385" i="3"/>
  <c r="D385" i="3"/>
  <c r="C385" i="3"/>
  <c r="B385" i="3"/>
  <c r="A385" i="3"/>
  <c r="F384" i="3"/>
  <c r="E384" i="3"/>
  <c r="D384" i="3"/>
  <c r="C384" i="3"/>
  <c r="B384" i="3"/>
  <c r="A384" i="3"/>
  <c r="F383" i="3"/>
  <c r="E383" i="3"/>
  <c r="D383" i="3"/>
  <c r="C383" i="3"/>
  <c r="B383" i="3"/>
  <c r="A383" i="3"/>
  <c r="D382" i="3"/>
  <c r="C382" i="3"/>
  <c r="B382" i="3"/>
  <c r="A382" i="3"/>
  <c r="D381" i="3"/>
  <c r="C381" i="3"/>
  <c r="B381" i="3"/>
  <c r="A381" i="3"/>
  <c r="F380" i="3"/>
  <c r="E380" i="3"/>
  <c r="D380" i="3"/>
  <c r="C380" i="3"/>
  <c r="B380" i="3"/>
  <c r="A380" i="3"/>
  <c r="D379" i="3"/>
  <c r="C379" i="3"/>
  <c r="B379" i="3"/>
  <c r="A379" i="3"/>
  <c r="D378" i="3"/>
  <c r="C378" i="3"/>
  <c r="B378" i="3"/>
  <c r="A378" i="3"/>
  <c r="D377" i="3"/>
  <c r="C377" i="3"/>
  <c r="B377" i="3"/>
  <c r="A377" i="3"/>
  <c r="D376" i="3"/>
  <c r="C376" i="3"/>
  <c r="B376" i="3"/>
  <c r="A376" i="3"/>
  <c r="F375" i="3"/>
  <c r="E375" i="3"/>
  <c r="D375" i="3"/>
  <c r="C375" i="3"/>
  <c r="B375" i="3"/>
  <c r="A375" i="3"/>
  <c r="F374" i="3"/>
  <c r="E374" i="3"/>
  <c r="D374" i="3"/>
  <c r="C374" i="3"/>
  <c r="B374" i="3"/>
  <c r="A374" i="3"/>
  <c r="F373" i="3"/>
  <c r="E373" i="3"/>
  <c r="D373" i="3"/>
  <c r="C373" i="3"/>
  <c r="B373" i="3"/>
  <c r="A373" i="3"/>
  <c r="F372" i="3"/>
  <c r="E372" i="3"/>
  <c r="D372" i="3"/>
  <c r="C372" i="3"/>
  <c r="B372" i="3"/>
  <c r="A372" i="3"/>
  <c r="D371" i="3"/>
  <c r="C371" i="3"/>
  <c r="B371" i="3"/>
  <c r="A371" i="3"/>
  <c r="F370" i="3"/>
  <c r="E370" i="3"/>
  <c r="D370" i="3"/>
  <c r="C370" i="3"/>
  <c r="B370" i="3"/>
  <c r="A370" i="3"/>
  <c r="D369" i="3"/>
  <c r="C369" i="3"/>
  <c r="B369" i="3"/>
  <c r="A369" i="3"/>
  <c r="F368" i="3"/>
  <c r="E368" i="3"/>
  <c r="D368" i="3"/>
  <c r="C368" i="3"/>
  <c r="B368" i="3"/>
  <c r="A368" i="3"/>
  <c r="D367" i="3"/>
  <c r="C367" i="3"/>
  <c r="B367" i="3"/>
  <c r="A367" i="3"/>
  <c r="F366" i="3"/>
  <c r="E366" i="3"/>
  <c r="D366" i="3"/>
  <c r="C366" i="3"/>
  <c r="B366" i="3"/>
  <c r="A366" i="3"/>
  <c r="F365" i="3"/>
  <c r="E365" i="3"/>
  <c r="D365" i="3"/>
  <c r="C365" i="3"/>
  <c r="B365" i="3"/>
  <c r="A365" i="3"/>
  <c r="F364" i="3"/>
  <c r="E364" i="3"/>
  <c r="D364" i="3"/>
  <c r="C364" i="3"/>
  <c r="B364" i="3"/>
  <c r="A364" i="3"/>
  <c r="F363" i="3"/>
  <c r="D363" i="3"/>
  <c r="C363" i="3"/>
  <c r="B363" i="3"/>
  <c r="A363" i="3"/>
  <c r="D362" i="3"/>
  <c r="C362" i="3"/>
  <c r="B362" i="3"/>
  <c r="A362" i="3"/>
  <c r="F361" i="3"/>
  <c r="E361" i="3"/>
  <c r="D361" i="3"/>
  <c r="C361" i="3"/>
  <c r="B361" i="3"/>
  <c r="A361" i="3"/>
  <c r="F360" i="3"/>
  <c r="E360" i="3"/>
  <c r="D360" i="3"/>
  <c r="C360" i="3"/>
  <c r="B360" i="3"/>
  <c r="A360" i="3"/>
  <c r="D359" i="3"/>
  <c r="C359" i="3"/>
  <c r="B359" i="3"/>
  <c r="A359" i="3"/>
  <c r="F358" i="3"/>
  <c r="E358" i="3"/>
  <c r="D358" i="3"/>
  <c r="C358" i="3"/>
  <c r="B358" i="3"/>
  <c r="A358" i="3"/>
  <c r="F357" i="3"/>
  <c r="E357" i="3"/>
  <c r="D357" i="3"/>
  <c r="C357" i="3"/>
  <c r="B357" i="3"/>
  <c r="A357" i="3"/>
  <c r="D356" i="3"/>
  <c r="C356" i="3"/>
  <c r="B356" i="3"/>
  <c r="A356" i="3"/>
  <c r="D355" i="3"/>
  <c r="C355" i="3"/>
  <c r="B355" i="3"/>
  <c r="A355" i="3"/>
  <c r="F354" i="3"/>
  <c r="E354" i="3"/>
  <c r="D354" i="3"/>
  <c r="C354" i="3"/>
  <c r="B354" i="3"/>
  <c r="A354" i="3"/>
  <c r="F353" i="3"/>
  <c r="E353" i="3"/>
  <c r="D353" i="3"/>
  <c r="C353" i="3"/>
  <c r="B353" i="3"/>
  <c r="A353" i="3"/>
  <c r="F352" i="3"/>
  <c r="E352" i="3"/>
  <c r="D352" i="3"/>
  <c r="C352" i="3"/>
  <c r="B352" i="3"/>
  <c r="A352" i="3"/>
  <c r="D351" i="3"/>
  <c r="C351" i="3"/>
  <c r="B351" i="3"/>
  <c r="A351" i="3"/>
  <c r="F350" i="3"/>
  <c r="E350" i="3"/>
  <c r="D350" i="3"/>
  <c r="C350" i="3"/>
  <c r="B350" i="3"/>
  <c r="A350" i="3"/>
  <c r="F349" i="3"/>
  <c r="E349" i="3"/>
  <c r="D349" i="3"/>
  <c r="C349" i="3"/>
  <c r="B349" i="3"/>
  <c r="A349" i="3"/>
  <c r="F348" i="3"/>
  <c r="E348" i="3"/>
  <c r="D348" i="3"/>
  <c r="C348" i="3"/>
  <c r="B348" i="3"/>
  <c r="A348" i="3"/>
  <c r="F347" i="3"/>
  <c r="E347" i="3"/>
  <c r="D347" i="3"/>
  <c r="C347" i="3"/>
  <c r="B347" i="3"/>
  <c r="A347" i="3"/>
  <c r="F346" i="3"/>
  <c r="E346" i="3"/>
  <c r="D346" i="3"/>
  <c r="C346" i="3"/>
  <c r="B346" i="3"/>
  <c r="A346" i="3"/>
  <c r="D345" i="3"/>
  <c r="C345" i="3"/>
  <c r="B345" i="3"/>
  <c r="A345" i="3"/>
  <c r="D344" i="3"/>
  <c r="C344" i="3"/>
  <c r="B344" i="3"/>
  <c r="A344" i="3"/>
  <c r="F343" i="3"/>
  <c r="E343" i="3"/>
  <c r="D343" i="3"/>
  <c r="C343" i="3"/>
  <c r="B343" i="3"/>
  <c r="A343" i="3"/>
  <c r="F342" i="3"/>
  <c r="E342" i="3"/>
  <c r="D342" i="3"/>
  <c r="C342" i="3"/>
  <c r="B342" i="3"/>
  <c r="A342" i="3"/>
  <c r="F341" i="3"/>
  <c r="E341" i="3"/>
  <c r="D341" i="3"/>
  <c r="C341" i="3"/>
  <c r="B341" i="3"/>
  <c r="A341" i="3"/>
  <c r="D340" i="3"/>
  <c r="C340" i="3"/>
  <c r="B340" i="3"/>
  <c r="A340" i="3"/>
  <c r="F339" i="3"/>
  <c r="E339" i="3"/>
  <c r="D339" i="3"/>
  <c r="C339" i="3"/>
  <c r="B339" i="3"/>
  <c r="A339" i="3"/>
  <c r="F338" i="3"/>
  <c r="E338" i="3"/>
  <c r="D338" i="3"/>
  <c r="C338" i="3"/>
  <c r="B338" i="3"/>
  <c r="A338" i="3"/>
  <c r="D337" i="3"/>
  <c r="C337" i="3"/>
  <c r="B337" i="3"/>
  <c r="A337" i="3"/>
  <c r="F336" i="3"/>
  <c r="E336" i="3"/>
  <c r="D336" i="3"/>
  <c r="C336" i="3"/>
  <c r="B336" i="3"/>
  <c r="A336" i="3"/>
  <c r="F335" i="3"/>
  <c r="E335" i="3"/>
  <c r="D335" i="3"/>
  <c r="C335" i="3"/>
  <c r="B335" i="3"/>
  <c r="A335" i="3"/>
  <c r="D334" i="3"/>
  <c r="C334" i="3"/>
  <c r="B334" i="3"/>
  <c r="A334" i="3"/>
  <c r="F333" i="3"/>
  <c r="E333" i="3"/>
  <c r="D333" i="3"/>
  <c r="C333" i="3"/>
  <c r="B333" i="3"/>
  <c r="A333" i="3"/>
  <c r="F332" i="3"/>
  <c r="E332" i="3"/>
  <c r="D332" i="3"/>
  <c r="C332" i="3"/>
  <c r="B332" i="3"/>
  <c r="A332" i="3"/>
  <c r="D331" i="3"/>
  <c r="C331" i="3"/>
  <c r="B331" i="3"/>
  <c r="A331" i="3"/>
  <c r="F330" i="3"/>
  <c r="E330" i="3"/>
  <c r="D330" i="3"/>
  <c r="C330" i="3"/>
  <c r="B330" i="3"/>
  <c r="A330" i="3"/>
  <c r="D329" i="3"/>
  <c r="C329" i="3"/>
  <c r="B329" i="3"/>
  <c r="A329" i="3"/>
  <c r="F328" i="3"/>
  <c r="E328" i="3"/>
  <c r="D328" i="3"/>
  <c r="C328" i="3"/>
  <c r="B328" i="3"/>
  <c r="A328" i="3"/>
  <c r="D327" i="3"/>
  <c r="C327" i="3"/>
  <c r="B327" i="3"/>
  <c r="A327" i="3"/>
  <c r="F326" i="3"/>
  <c r="E326" i="3"/>
  <c r="D326" i="3"/>
  <c r="C326" i="3"/>
  <c r="B326" i="3"/>
  <c r="A326" i="3"/>
  <c r="F325" i="3"/>
  <c r="E325" i="3"/>
  <c r="D325" i="3"/>
  <c r="C325" i="3"/>
  <c r="B325" i="3"/>
  <c r="A325" i="3"/>
  <c r="F324" i="3"/>
  <c r="E324" i="3"/>
  <c r="D324" i="3"/>
  <c r="C324" i="3"/>
  <c r="B324" i="3"/>
  <c r="A324" i="3"/>
  <c r="D323" i="3"/>
  <c r="C323" i="3"/>
  <c r="B323" i="3"/>
  <c r="A323" i="3"/>
  <c r="F322" i="3"/>
  <c r="E322" i="3"/>
  <c r="D322" i="3"/>
  <c r="C322" i="3"/>
  <c r="B322" i="3"/>
  <c r="A322" i="3"/>
  <c r="F321" i="3"/>
  <c r="E321" i="3"/>
  <c r="D321" i="3"/>
  <c r="C321" i="3"/>
  <c r="B321" i="3"/>
  <c r="A321" i="3"/>
  <c r="D320" i="3"/>
  <c r="C320" i="3"/>
  <c r="B320" i="3"/>
  <c r="A320" i="3"/>
  <c r="F319" i="3"/>
  <c r="E319" i="3"/>
  <c r="D319" i="3"/>
  <c r="C319" i="3"/>
  <c r="B319" i="3"/>
  <c r="A319" i="3"/>
  <c r="D318" i="3"/>
  <c r="C318" i="3"/>
  <c r="B318" i="3"/>
  <c r="A318" i="3"/>
  <c r="F317" i="3"/>
  <c r="E317" i="3"/>
  <c r="D317" i="3"/>
  <c r="C317" i="3"/>
  <c r="B317" i="3"/>
  <c r="A317" i="3"/>
  <c r="D316" i="3"/>
  <c r="C316" i="3"/>
  <c r="B316" i="3"/>
  <c r="A316" i="3"/>
  <c r="F315" i="3"/>
  <c r="E315" i="3"/>
  <c r="D315" i="3"/>
  <c r="C315" i="3"/>
  <c r="B315" i="3"/>
  <c r="A315" i="3"/>
  <c r="D314" i="3"/>
  <c r="C314" i="3"/>
  <c r="B314" i="3"/>
  <c r="A314" i="3"/>
  <c r="D313" i="3"/>
  <c r="C313" i="3"/>
  <c r="B313" i="3"/>
  <c r="A313" i="3"/>
  <c r="F312" i="3"/>
  <c r="E312" i="3"/>
  <c r="D312" i="3"/>
  <c r="C312" i="3"/>
  <c r="B312" i="3"/>
  <c r="A312" i="3"/>
  <c r="F311" i="3"/>
  <c r="E311" i="3"/>
  <c r="D311" i="3"/>
  <c r="C311" i="3"/>
  <c r="B311" i="3"/>
  <c r="A311" i="3"/>
  <c r="F310" i="3"/>
  <c r="E310" i="3"/>
  <c r="D310" i="3"/>
  <c r="C310" i="3"/>
  <c r="B310" i="3"/>
  <c r="A310" i="3"/>
  <c r="F309" i="3"/>
  <c r="E309" i="3"/>
  <c r="D309" i="3"/>
  <c r="C309" i="3"/>
  <c r="B309" i="3"/>
  <c r="A309" i="3"/>
  <c r="F308" i="3"/>
  <c r="E308" i="3"/>
  <c r="D308" i="3"/>
  <c r="C308" i="3"/>
  <c r="B308" i="3"/>
  <c r="A308" i="3"/>
  <c r="D307" i="3"/>
  <c r="C307" i="3"/>
  <c r="B307" i="3"/>
  <c r="A307" i="3"/>
  <c r="F306" i="3"/>
  <c r="E306" i="3"/>
  <c r="D306" i="3"/>
  <c r="C306" i="3"/>
  <c r="B306" i="3"/>
  <c r="A306" i="3"/>
  <c r="F305" i="3"/>
  <c r="E305" i="3"/>
  <c r="D305" i="3"/>
  <c r="C305" i="3"/>
  <c r="B305" i="3"/>
  <c r="A305" i="3"/>
  <c r="D304" i="3"/>
  <c r="C304" i="3"/>
  <c r="B304" i="3"/>
  <c r="A304" i="3"/>
  <c r="F303" i="3"/>
  <c r="E303" i="3"/>
  <c r="D303" i="3"/>
  <c r="C303" i="3"/>
  <c r="B303" i="3"/>
  <c r="A303" i="3"/>
  <c r="D302" i="3"/>
  <c r="C302" i="3"/>
  <c r="B302" i="3"/>
  <c r="A302" i="3"/>
  <c r="F301" i="3"/>
  <c r="E301" i="3"/>
  <c r="D301" i="3"/>
  <c r="C301" i="3"/>
  <c r="B301" i="3"/>
  <c r="A301" i="3"/>
  <c r="F300" i="3"/>
  <c r="E300" i="3"/>
  <c r="D300" i="3"/>
  <c r="C300" i="3"/>
  <c r="B300" i="3"/>
  <c r="A300" i="3"/>
  <c r="F299" i="3"/>
  <c r="E299" i="3"/>
  <c r="D299" i="3"/>
  <c r="C299" i="3"/>
  <c r="B299" i="3"/>
  <c r="A299" i="3"/>
  <c r="F298" i="3"/>
  <c r="E298" i="3"/>
  <c r="D298" i="3"/>
  <c r="C298" i="3"/>
  <c r="B298" i="3"/>
  <c r="A298" i="3"/>
  <c r="F297" i="3"/>
  <c r="E297" i="3"/>
  <c r="D297" i="3"/>
  <c r="C297" i="3"/>
  <c r="B297" i="3"/>
  <c r="A297" i="3"/>
  <c r="D296" i="3"/>
  <c r="C296" i="3"/>
  <c r="B296" i="3"/>
  <c r="A296" i="3"/>
  <c r="F295" i="3"/>
  <c r="E295" i="3"/>
  <c r="D295" i="3"/>
  <c r="C295" i="3"/>
  <c r="B295" i="3"/>
  <c r="A295" i="3"/>
  <c r="D294" i="3"/>
  <c r="C294" i="3"/>
  <c r="B294" i="3"/>
  <c r="A294" i="3"/>
  <c r="D293" i="3"/>
  <c r="C293" i="3"/>
  <c r="B293" i="3"/>
  <c r="A293" i="3"/>
  <c r="F292" i="3"/>
  <c r="E292" i="3"/>
  <c r="D292" i="3"/>
  <c r="C292" i="3"/>
  <c r="B292" i="3"/>
  <c r="A292" i="3"/>
  <c r="D291" i="3"/>
  <c r="C291" i="3"/>
  <c r="B291" i="3"/>
  <c r="A291" i="3"/>
  <c r="F290" i="3"/>
  <c r="E290" i="3"/>
  <c r="D290" i="3"/>
  <c r="C290" i="3"/>
  <c r="B290" i="3"/>
  <c r="A290" i="3"/>
  <c r="F289" i="3"/>
  <c r="E289" i="3"/>
  <c r="D289" i="3"/>
  <c r="C289" i="3"/>
  <c r="B289" i="3"/>
  <c r="A289" i="3"/>
  <c r="D288" i="3"/>
  <c r="C288" i="3"/>
  <c r="B288" i="3"/>
  <c r="A288" i="3"/>
  <c r="F287" i="3"/>
  <c r="E287" i="3"/>
  <c r="D287" i="3"/>
  <c r="C287" i="3"/>
  <c r="B287" i="3"/>
  <c r="A287" i="3"/>
  <c r="F286" i="3"/>
  <c r="E286" i="3"/>
  <c r="D286" i="3"/>
  <c r="C286" i="3"/>
  <c r="B286" i="3"/>
  <c r="A286" i="3"/>
  <c r="D285" i="3"/>
  <c r="C285" i="3"/>
  <c r="B285" i="3"/>
  <c r="A285" i="3"/>
  <c r="D284" i="3"/>
  <c r="C284" i="3"/>
  <c r="B284" i="3"/>
  <c r="A284" i="3"/>
  <c r="F283" i="3"/>
  <c r="E283" i="3"/>
  <c r="D283" i="3"/>
  <c r="C283" i="3"/>
  <c r="B283" i="3"/>
  <c r="A283" i="3"/>
  <c r="F282" i="3"/>
  <c r="E282" i="3"/>
  <c r="D282" i="3"/>
  <c r="C282" i="3"/>
  <c r="B282" i="3"/>
  <c r="A282" i="3"/>
  <c r="F281" i="3"/>
  <c r="E281" i="3"/>
  <c r="D281" i="3"/>
  <c r="C281" i="3"/>
  <c r="B281" i="3"/>
  <c r="A281" i="3"/>
  <c r="D280" i="3"/>
  <c r="C280" i="3"/>
  <c r="B280" i="3"/>
  <c r="A280" i="3"/>
  <c r="F279" i="3"/>
  <c r="E279" i="3"/>
  <c r="D279" i="3"/>
  <c r="C279" i="3"/>
  <c r="B279" i="3"/>
  <c r="A279" i="3"/>
  <c r="F278" i="3"/>
  <c r="E278" i="3"/>
  <c r="D278" i="3"/>
  <c r="C278" i="3"/>
  <c r="B278" i="3"/>
  <c r="A278" i="3"/>
  <c r="F277" i="3"/>
  <c r="E277" i="3"/>
  <c r="D277" i="3"/>
  <c r="C277" i="3"/>
  <c r="B277" i="3"/>
  <c r="A277" i="3"/>
  <c r="D276" i="3"/>
  <c r="C276" i="3"/>
  <c r="B276" i="3"/>
  <c r="A276" i="3"/>
  <c r="D275" i="3"/>
  <c r="C275" i="3"/>
  <c r="B275" i="3"/>
  <c r="A275" i="3"/>
  <c r="F274" i="3"/>
  <c r="E274" i="3"/>
  <c r="D274" i="3"/>
  <c r="C274" i="3"/>
  <c r="B274" i="3"/>
  <c r="A274" i="3"/>
  <c r="F273" i="3"/>
  <c r="E273" i="3"/>
  <c r="D273" i="3"/>
  <c r="C273" i="3"/>
  <c r="B273" i="3"/>
  <c r="A273" i="3"/>
  <c r="F272" i="3"/>
  <c r="E272" i="3"/>
  <c r="D272" i="3"/>
  <c r="C272" i="3"/>
  <c r="B272" i="3"/>
  <c r="A272" i="3"/>
  <c r="F271" i="3"/>
  <c r="E271" i="3"/>
  <c r="D271" i="3"/>
  <c r="C271" i="3"/>
  <c r="B271" i="3"/>
  <c r="A271" i="3"/>
  <c r="F270" i="3"/>
  <c r="E270" i="3"/>
  <c r="D270" i="3"/>
  <c r="C270" i="3"/>
  <c r="B270" i="3"/>
  <c r="A270" i="3"/>
  <c r="F269" i="3"/>
  <c r="E269" i="3"/>
  <c r="D269" i="3"/>
  <c r="C269" i="3"/>
  <c r="B269" i="3"/>
  <c r="A269" i="3"/>
  <c r="F268" i="3"/>
  <c r="E268" i="3"/>
  <c r="D268" i="3"/>
  <c r="C268" i="3"/>
  <c r="B268" i="3"/>
  <c r="A268" i="3"/>
  <c r="D267" i="3"/>
  <c r="C267" i="3"/>
  <c r="B267" i="3"/>
  <c r="A267" i="3"/>
  <c r="F266" i="3"/>
  <c r="E266" i="3"/>
  <c r="D266" i="3"/>
  <c r="C266" i="3"/>
  <c r="B266" i="3"/>
  <c r="A266" i="3"/>
  <c r="F265" i="3"/>
  <c r="E265" i="3"/>
  <c r="D265" i="3"/>
  <c r="C265" i="3"/>
  <c r="B265" i="3"/>
  <c r="A265" i="3"/>
  <c r="F264" i="3"/>
  <c r="E264" i="3"/>
  <c r="D264" i="3"/>
  <c r="C264" i="3"/>
  <c r="B264" i="3"/>
  <c r="A264" i="3"/>
  <c r="D263" i="3"/>
  <c r="C263" i="3"/>
  <c r="B263" i="3"/>
  <c r="A263" i="3"/>
  <c r="F262" i="3"/>
  <c r="E262" i="3"/>
  <c r="D262" i="3"/>
  <c r="C262" i="3"/>
  <c r="B262" i="3"/>
  <c r="A262" i="3"/>
  <c r="F261" i="3"/>
  <c r="E261" i="3"/>
  <c r="D261" i="3"/>
  <c r="C261" i="3"/>
  <c r="B261" i="3"/>
  <c r="A261" i="3"/>
  <c r="F260" i="3"/>
  <c r="E260" i="3"/>
  <c r="D260" i="3"/>
  <c r="C260" i="3"/>
  <c r="B260" i="3"/>
  <c r="A260" i="3"/>
  <c r="F259" i="3"/>
  <c r="E259" i="3"/>
  <c r="D259" i="3"/>
  <c r="C259" i="3"/>
  <c r="B259" i="3"/>
  <c r="A259" i="3"/>
  <c r="F258" i="3"/>
  <c r="E258" i="3"/>
  <c r="D258" i="3"/>
  <c r="C258" i="3"/>
  <c r="B258" i="3"/>
  <c r="A258" i="3"/>
  <c r="D257" i="3"/>
  <c r="C257" i="3"/>
  <c r="B257" i="3"/>
  <c r="A257" i="3"/>
  <c r="F256" i="3"/>
  <c r="E256" i="3"/>
  <c r="D256" i="3"/>
  <c r="C256" i="3"/>
  <c r="B256" i="3"/>
  <c r="A256" i="3"/>
  <c r="F255" i="3"/>
  <c r="E255" i="3"/>
  <c r="D255" i="3"/>
  <c r="C255" i="3"/>
  <c r="B255" i="3"/>
  <c r="A255" i="3"/>
  <c r="F254" i="3"/>
  <c r="E254" i="3"/>
  <c r="D254" i="3"/>
  <c r="C254" i="3"/>
  <c r="B254" i="3"/>
  <c r="A254" i="3"/>
  <c r="D253" i="3"/>
  <c r="C253" i="3"/>
  <c r="B253" i="3"/>
  <c r="A253" i="3"/>
  <c r="F252" i="3"/>
  <c r="E252" i="3"/>
  <c r="D252" i="3"/>
  <c r="C252" i="3"/>
  <c r="B252" i="3"/>
  <c r="A252" i="3"/>
  <c r="F251" i="3"/>
  <c r="E251" i="3"/>
  <c r="D251" i="3"/>
  <c r="C251" i="3"/>
  <c r="B251" i="3"/>
  <c r="A251" i="3"/>
  <c r="D250" i="3"/>
  <c r="C250" i="3"/>
  <c r="B250" i="3"/>
  <c r="A250" i="3"/>
  <c r="D249" i="3"/>
  <c r="C249" i="3"/>
  <c r="B249" i="3"/>
  <c r="A249" i="3"/>
  <c r="F248" i="3"/>
  <c r="E248" i="3"/>
  <c r="D248" i="3"/>
  <c r="C248" i="3"/>
  <c r="B248" i="3"/>
  <c r="A248" i="3"/>
  <c r="D247" i="3"/>
  <c r="C247" i="3"/>
  <c r="B247" i="3"/>
  <c r="A247" i="3"/>
  <c r="F246" i="3"/>
  <c r="E246" i="3"/>
  <c r="D246" i="3"/>
  <c r="C246" i="3"/>
  <c r="B246" i="3"/>
  <c r="A246" i="3"/>
  <c r="F245" i="3"/>
  <c r="E245" i="3"/>
  <c r="D245" i="3"/>
  <c r="C245" i="3"/>
  <c r="B245" i="3"/>
  <c r="A245" i="3"/>
  <c r="F244" i="3"/>
  <c r="E244" i="3"/>
  <c r="D244" i="3"/>
  <c r="C244" i="3"/>
  <c r="B244" i="3"/>
  <c r="A244" i="3"/>
  <c r="D243" i="3"/>
  <c r="C243" i="3"/>
  <c r="B243" i="3"/>
  <c r="A243" i="3"/>
  <c r="D242" i="3"/>
  <c r="C242" i="3"/>
  <c r="B242" i="3"/>
  <c r="A242" i="3"/>
  <c r="D241" i="3"/>
  <c r="C241" i="3"/>
  <c r="B241" i="3"/>
  <c r="A241" i="3"/>
  <c r="F240" i="3"/>
  <c r="E240" i="3"/>
  <c r="D240" i="3"/>
  <c r="C240" i="3"/>
  <c r="B240" i="3"/>
  <c r="A240" i="3"/>
  <c r="F239" i="3"/>
  <c r="E239" i="3"/>
  <c r="D239" i="3"/>
  <c r="C239" i="3"/>
  <c r="B239" i="3"/>
  <c r="A239" i="3"/>
  <c r="D238" i="3"/>
  <c r="C238" i="3"/>
  <c r="B238" i="3"/>
  <c r="A238" i="3"/>
  <c r="F237" i="3"/>
  <c r="E237" i="3"/>
  <c r="D237" i="3"/>
  <c r="C237" i="3"/>
  <c r="B237" i="3"/>
  <c r="A237" i="3"/>
  <c r="D236" i="3"/>
  <c r="C236" i="3"/>
  <c r="B236" i="3"/>
  <c r="A236" i="3"/>
  <c r="F235" i="3"/>
  <c r="E235" i="3"/>
  <c r="D235" i="3"/>
  <c r="C235" i="3"/>
  <c r="B235" i="3"/>
  <c r="A235" i="3"/>
  <c r="F234" i="3"/>
  <c r="E234" i="3"/>
  <c r="D234" i="3"/>
  <c r="C234" i="3"/>
  <c r="B234" i="3"/>
  <c r="A234" i="3"/>
  <c r="F233" i="3"/>
  <c r="E233" i="3"/>
  <c r="D233" i="3"/>
  <c r="C233" i="3"/>
  <c r="B233" i="3"/>
  <c r="A233" i="3"/>
  <c r="D232" i="3"/>
  <c r="C232" i="3"/>
  <c r="B232" i="3"/>
  <c r="A232" i="3"/>
  <c r="F231" i="3"/>
  <c r="E231" i="3"/>
  <c r="D231" i="3"/>
  <c r="C231" i="3"/>
  <c r="B231" i="3"/>
  <c r="A231" i="3"/>
  <c r="D230" i="3"/>
  <c r="C230" i="3"/>
  <c r="B230" i="3"/>
  <c r="A230" i="3"/>
  <c r="F229" i="3"/>
  <c r="E229" i="3"/>
  <c r="D229" i="3"/>
  <c r="C229" i="3"/>
  <c r="B229" i="3"/>
  <c r="A229" i="3"/>
  <c r="D228" i="3"/>
  <c r="C228" i="3"/>
  <c r="B228" i="3"/>
  <c r="A228" i="3"/>
  <c r="F227" i="3"/>
  <c r="E227" i="3"/>
  <c r="D227" i="3"/>
  <c r="C227" i="3"/>
  <c r="B227" i="3"/>
  <c r="A227" i="3"/>
  <c r="F226" i="3"/>
  <c r="E226" i="3"/>
  <c r="D226" i="3"/>
  <c r="C226" i="3"/>
  <c r="B226" i="3"/>
  <c r="A226" i="3"/>
  <c r="D225" i="3"/>
  <c r="C225" i="3"/>
  <c r="B225" i="3"/>
  <c r="A225" i="3"/>
  <c r="D224" i="3"/>
  <c r="C224" i="3"/>
  <c r="B224" i="3"/>
  <c r="A224" i="3"/>
  <c r="F223" i="3"/>
  <c r="E223" i="3"/>
  <c r="D223" i="3"/>
  <c r="C223" i="3"/>
  <c r="B223" i="3"/>
  <c r="A223" i="3"/>
  <c r="F222" i="3"/>
  <c r="E222" i="3"/>
  <c r="D222" i="3"/>
  <c r="C222" i="3"/>
  <c r="B222" i="3"/>
  <c r="A222" i="3"/>
  <c r="F221" i="3"/>
  <c r="E221" i="3"/>
  <c r="D221" i="3"/>
  <c r="C221" i="3"/>
  <c r="B221" i="3"/>
  <c r="A221" i="3"/>
  <c r="F220" i="3"/>
  <c r="E220" i="3"/>
  <c r="D220" i="3"/>
  <c r="C220" i="3"/>
  <c r="B220" i="3"/>
  <c r="A220" i="3"/>
  <c r="F219" i="3"/>
  <c r="E219" i="3"/>
  <c r="D219" i="3"/>
  <c r="C219" i="3"/>
  <c r="B219" i="3"/>
  <c r="A219" i="3"/>
  <c r="D218" i="3"/>
  <c r="C218" i="3"/>
  <c r="B218" i="3"/>
  <c r="A218" i="3"/>
  <c r="D217" i="3"/>
  <c r="C217" i="3"/>
  <c r="B217" i="3"/>
  <c r="A217" i="3"/>
  <c r="D216" i="3"/>
  <c r="C216" i="3"/>
  <c r="B216" i="3"/>
  <c r="A216" i="3"/>
  <c r="F215" i="3"/>
  <c r="E215" i="3"/>
  <c r="D215" i="3"/>
  <c r="C215" i="3"/>
  <c r="B215" i="3"/>
  <c r="A215" i="3"/>
  <c r="F214" i="3"/>
  <c r="E214" i="3"/>
  <c r="D214" i="3"/>
  <c r="C214" i="3"/>
  <c r="B214" i="3"/>
  <c r="A214" i="3"/>
  <c r="F213" i="3"/>
  <c r="E213" i="3"/>
  <c r="D213" i="3"/>
  <c r="C213" i="3"/>
  <c r="B213" i="3"/>
  <c r="A213" i="3"/>
  <c r="D212" i="3"/>
  <c r="C212" i="3"/>
  <c r="B212" i="3"/>
  <c r="A212" i="3"/>
  <c r="D211" i="3"/>
  <c r="C211" i="3"/>
  <c r="B211" i="3"/>
  <c r="A211" i="3"/>
  <c r="F210" i="3"/>
  <c r="E210" i="3"/>
  <c r="D210" i="3"/>
  <c r="C210" i="3"/>
  <c r="B210" i="3"/>
  <c r="A210" i="3"/>
  <c r="F209" i="3"/>
  <c r="E209" i="3"/>
  <c r="D209" i="3"/>
  <c r="C209" i="3"/>
  <c r="B209" i="3"/>
  <c r="A209" i="3"/>
  <c r="F208" i="3"/>
  <c r="E208" i="3"/>
  <c r="D208" i="3"/>
  <c r="C208" i="3"/>
  <c r="B208" i="3"/>
  <c r="A208" i="3"/>
  <c r="F207" i="3"/>
  <c r="D207" i="3"/>
  <c r="C207" i="3"/>
  <c r="B207" i="3"/>
  <c r="A207" i="3"/>
  <c r="F206" i="3"/>
  <c r="E206" i="3"/>
  <c r="D206" i="3"/>
  <c r="C206" i="3"/>
  <c r="B206" i="3"/>
  <c r="A206" i="3"/>
  <c r="F205" i="3"/>
  <c r="E205" i="3"/>
  <c r="D205" i="3"/>
  <c r="C205" i="3"/>
  <c r="B205" i="3"/>
  <c r="A205" i="3"/>
  <c r="F204" i="3"/>
  <c r="E204" i="3"/>
  <c r="D204" i="3"/>
  <c r="C204" i="3"/>
  <c r="B204" i="3"/>
  <c r="A204" i="3"/>
  <c r="F203" i="3"/>
  <c r="E203" i="3"/>
  <c r="D203" i="3"/>
  <c r="C203" i="3"/>
  <c r="B203" i="3"/>
  <c r="A203" i="3"/>
  <c r="D202" i="3"/>
  <c r="C202" i="3"/>
  <c r="B202" i="3"/>
  <c r="A202" i="3"/>
  <c r="F201" i="3"/>
  <c r="E201" i="3"/>
  <c r="D201" i="3"/>
  <c r="C201" i="3"/>
  <c r="B201" i="3"/>
  <c r="A201" i="3"/>
  <c r="F200" i="3"/>
  <c r="E200" i="3"/>
  <c r="D200" i="3"/>
  <c r="C200" i="3"/>
  <c r="B200" i="3"/>
  <c r="A200" i="3"/>
  <c r="F199" i="3"/>
  <c r="E199" i="3"/>
  <c r="D199" i="3"/>
  <c r="C199" i="3"/>
  <c r="B199" i="3"/>
  <c r="A199" i="3"/>
  <c r="F198" i="3"/>
  <c r="E198" i="3"/>
  <c r="D198" i="3"/>
  <c r="C198" i="3"/>
  <c r="B198" i="3"/>
  <c r="A198" i="3"/>
  <c r="F197" i="3"/>
  <c r="E197" i="3"/>
  <c r="D197" i="3"/>
  <c r="C197" i="3"/>
  <c r="B197" i="3"/>
  <c r="A197" i="3"/>
  <c r="F196" i="3"/>
  <c r="E196" i="3"/>
  <c r="D196" i="3"/>
  <c r="C196" i="3"/>
  <c r="B196" i="3"/>
  <c r="A196" i="3"/>
  <c r="F195" i="3"/>
  <c r="E195" i="3"/>
  <c r="D195" i="3"/>
  <c r="C195" i="3"/>
  <c r="B195" i="3"/>
  <c r="A195" i="3"/>
  <c r="D194" i="3"/>
  <c r="C194" i="3"/>
  <c r="B194" i="3"/>
  <c r="A194" i="3"/>
  <c r="F193" i="3"/>
  <c r="E193" i="3"/>
  <c r="D193" i="3"/>
  <c r="C193" i="3"/>
  <c r="B193" i="3"/>
  <c r="A193" i="3"/>
  <c r="F192" i="3"/>
  <c r="E192" i="3"/>
  <c r="D192" i="3"/>
  <c r="C192" i="3"/>
  <c r="B192" i="3"/>
  <c r="A192" i="3"/>
  <c r="D191" i="3"/>
  <c r="C191" i="3"/>
  <c r="B191" i="3"/>
  <c r="A191" i="3"/>
  <c r="F190" i="3"/>
  <c r="E190" i="3"/>
  <c r="D190" i="3"/>
  <c r="C190" i="3"/>
  <c r="B190" i="3"/>
  <c r="A190" i="3"/>
  <c r="F189" i="3"/>
  <c r="E189" i="3"/>
  <c r="D189" i="3"/>
  <c r="C189" i="3"/>
  <c r="B189" i="3"/>
  <c r="A189" i="3"/>
  <c r="D188" i="3"/>
  <c r="C188" i="3"/>
  <c r="B188" i="3"/>
  <c r="A188" i="3"/>
  <c r="D187" i="3"/>
  <c r="C187" i="3"/>
  <c r="B187" i="3"/>
  <c r="A187" i="3"/>
  <c r="F186" i="3"/>
  <c r="E186" i="3"/>
  <c r="D186" i="3"/>
  <c r="C186" i="3"/>
  <c r="B186" i="3"/>
  <c r="A186" i="3"/>
  <c r="F185" i="3"/>
  <c r="E185" i="3"/>
  <c r="D185" i="3"/>
  <c r="C185" i="3"/>
  <c r="B185" i="3"/>
  <c r="A185" i="3"/>
  <c r="F184" i="3"/>
  <c r="E184" i="3"/>
  <c r="D184" i="3"/>
  <c r="C184" i="3"/>
  <c r="B184" i="3"/>
  <c r="A184" i="3"/>
  <c r="F183" i="3"/>
  <c r="E183" i="3"/>
  <c r="D183" i="3"/>
  <c r="C183" i="3"/>
  <c r="B183" i="3"/>
  <c r="A183" i="3"/>
  <c r="F182" i="3"/>
  <c r="E182" i="3"/>
  <c r="D182" i="3"/>
  <c r="C182" i="3"/>
  <c r="B182" i="3"/>
  <c r="A182" i="3"/>
  <c r="D181" i="3"/>
  <c r="C181" i="3"/>
  <c r="B181" i="3"/>
  <c r="A181" i="3"/>
  <c r="D180" i="3"/>
  <c r="C180" i="3"/>
  <c r="B180" i="3"/>
  <c r="A180" i="3"/>
  <c r="D179" i="3"/>
  <c r="C179" i="3"/>
  <c r="B179" i="3"/>
  <c r="A179" i="3"/>
  <c r="D178" i="3"/>
  <c r="C178" i="3"/>
  <c r="B178" i="3"/>
  <c r="A178" i="3"/>
  <c r="F177" i="3"/>
  <c r="E177" i="3"/>
  <c r="D177" i="3"/>
  <c r="C177" i="3"/>
  <c r="B177" i="3"/>
  <c r="A177" i="3"/>
  <c r="F176" i="3"/>
  <c r="E176" i="3"/>
  <c r="D176" i="3"/>
  <c r="C176" i="3"/>
  <c r="B176" i="3"/>
  <c r="A176" i="3"/>
  <c r="F175" i="3"/>
  <c r="E175" i="3"/>
  <c r="D175" i="3"/>
  <c r="C175" i="3"/>
  <c r="B175" i="3"/>
  <c r="A175" i="3"/>
  <c r="F174" i="3"/>
  <c r="E174" i="3"/>
  <c r="D174" i="3"/>
  <c r="C174" i="3"/>
  <c r="B174" i="3"/>
  <c r="A174" i="3"/>
  <c r="F173" i="3"/>
  <c r="E173" i="3"/>
  <c r="D173" i="3"/>
  <c r="C173" i="3"/>
  <c r="B173" i="3"/>
  <c r="A173" i="3"/>
  <c r="F172" i="3"/>
  <c r="E172" i="3"/>
  <c r="D172" i="3"/>
  <c r="C172" i="3"/>
  <c r="B172" i="3"/>
  <c r="A172" i="3"/>
  <c r="F171" i="3"/>
  <c r="E171" i="3"/>
  <c r="D171" i="3"/>
  <c r="C171" i="3"/>
  <c r="B171" i="3"/>
  <c r="A171" i="3"/>
  <c r="F170" i="3"/>
  <c r="E170" i="3"/>
  <c r="D170" i="3"/>
  <c r="C170" i="3"/>
  <c r="B170" i="3"/>
  <c r="A170" i="3"/>
  <c r="F169" i="3"/>
  <c r="E169" i="3"/>
  <c r="D169" i="3"/>
  <c r="C169" i="3"/>
  <c r="B169" i="3"/>
  <c r="A169" i="3"/>
  <c r="D168" i="3"/>
  <c r="C168" i="3"/>
  <c r="B168" i="3"/>
  <c r="A168" i="3"/>
  <c r="F167" i="3"/>
  <c r="E167" i="3"/>
  <c r="D167" i="3"/>
  <c r="C167" i="3"/>
  <c r="B167" i="3"/>
  <c r="A167" i="3"/>
  <c r="F166" i="3"/>
  <c r="E166" i="3"/>
  <c r="D166" i="3"/>
  <c r="C166" i="3"/>
  <c r="B166" i="3"/>
  <c r="A166" i="3"/>
  <c r="F165" i="3"/>
  <c r="E165" i="3"/>
  <c r="D165" i="3"/>
  <c r="C165" i="3"/>
  <c r="B165" i="3"/>
  <c r="A165" i="3"/>
  <c r="D164" i="3"/>
  <c r="C164" i="3"/>
  <c r="B164" i="3"/>
  <c r="A164" i="3"/>
  <c r="F163" i="3"/>
  <c r="E163" i="3"/>
  <c r="D163" i="3"/>
  <c r="C163" i="3"/>
  <c r="B163" i="3"/>
  <c r="A163" i="3"/>
  <c r="F162" i="3"/>
  <c r="E162" i="3"/>
  <c r="D162" i="3"/>
  <c r="C162" i="3"/>
  <c r="B162" i="3"/>
  <c r="A162" i="3"/>
  <c r="F161" i="3"/>
  <c r="E161" i="3"/>
  <c r="D161" i="3"/>
  <c r="C161" i="3"/>
  <c r="B161" i="3"/>
  <c r="A161" i="3"/>
  <c r="D160" i="3"/>
  <c r="C160" i="3"/>
  <c r="B160" i="3"/>
  <c r="A160" i="3"/>
  <c r="F159" i="3"/>
  <c r="E159" i="3"/>
  <c r="D159" i="3"/>
  <c r="C159" i="3"/>
  <c r="B159" i="3"/>
  <c r="A159" i="3"/>
  <c r="D158" i="3"/>
  <c r="C158" i="3"/>
  <c r="B158" i="3"/>
  <c r="A158" i="3"/>
  <c r="D157" i="3"/>
  <c r="C157" i="3"/>
  <c r="B157" i="3"/>
  <c r="A157" i="3"/>
  <c r="F156" i="3"/>
  <c r="E156" i="3"/>
  <c r="D156" i="3"/>
  <c r="C156" i="3"/>
  <c r="B156" i="3"/>
  <c r="A156" i="3"/>
  <c r="F155" i="3"/>
  <c r="E155" i="3"/>
  <c r="D155" i="3"/>
  <c r="C155" i="3"/>
  <c r="B155" i="3"/>
  <c r="A155" i="3"/>
  <c r="D154" i="3"/>
  <c r="C154" i="3"/>
  <c r="B154" i="3"/>
  <c r="A154" i="3"/>
  <c r="F153" i="3"/>
  <c r="E153" i="3"/>
  <c r="D153" i="3"/>
  <c r="C153" i="3"/>
  <c r="B153" i="3"/>
  <c r="A153" i="3"/>
  <c r="D152" i="3"/>
  <c r="C152" i="3"/>
  <c r="B152" i="3"/>
  <c r="A152" i="3"/>
  <c r="F151" i="3"/>
  <c r="E151" i="3"/>
  <c r="D151" i="3"/>
  <c r="C151" i="3"/>
  <c r="B151" i="3"/>
  <c r="A151" i="3"/>
  <c r="F150" i="3"/>
  <c r="E150" i="3"/>
  <c r="D150" i="3"/>
  <c r="C150" i="3"/>
  <c r="B150" i="3"/>
  <c r="A150" i="3"/>
  <c r="F149" i="3"/>
  <c r="E149" i="3"/>
  <c r="D149" i="3"/>
  <c r="C149" i="3"/>
  <c r="B149" i="3"/>
  <c r="A149" i="3"/>
  <c r="D148" i="3"/>
  <c r="C148" i="3"/>
  <c r="B148" i="3"/>
  <c r="A148" i="3"/>
  <c r="D147" i="3"/>
  <c r="C147" i="3"/>
  <c r="B147" i="3"/>
  <c r="A147" i="3"/>
  <c r="F146" i="3"/>
  <c r="E146" i="3"/>
  <c r="D146" i="3"/>
  <c r="C146" i="3"/>
  <c r="B146" i="3"/>
  <c r="A146" i="3"/>
  <c r="F145" i="3"/>
  <c r="E145" i="3"/>
  <c r="D145" i="3"/>
  <c r="C145" i="3"/>
  <c r="B145" i="3"/>
  <c r="A145" i="3"/>
  <c r="F144" i="3"/>
  <c r="E144" i="3"/>
  <c r="D144" i="3"/>
  <c r="C144" i="3"/>
  <c r="B144" i="3"/>
  <c r="A144" i="3"/>
  <c r="F143" i="3"/>
  <c r="E143" i="3"/>
  <c r="D143" i="3"/>
  <c r="C143" i="3"/>
  <c r="B143" i="3"/>
  <c r="A143" i="3"/>
  <c r="D142" i="3"/>
  <c r="C142" i="3"/>
  <c r="B142" i="3"/>
  <c r="A142" i="3"/>
  <c r="F141" i="3"/>
  <c r="E141" i="3"/>
  <c r="D141" i="3"/>
  <c r="C141" i="3"/>
  <c r="B141" i="3"/>
  <c r="A141" i="3"/>
  <c r="F140" i="3"/>
  <c r="E140" i="3"/>
  <c r="D140" i="3"/>
  <c r="C140" i="3"/>
  <c r="B140" i="3"/>
  <c r="A140" i="3"/>
  <c r="F139" i="3"/>
  <c r="E139" i="3"/>
  <c r="D139" i="3"/>
  <c r="C139" i="3"/>
  <c r="B139" i="3"/>
  <c r="A139" i="3"/>
  <c r="D138" i="3"/>
  <c r="C138" i="3"/>
  <c r="B138" i="3"/>
  <c r="A138" i="3"/>
  <c r="F137" i="3"/>
  <c r="E137" i="3"/>
  <c r="D137" i="3"/>
  <c r="C137" i="3"/>
  <c r="B137" i="3"/>
  <c r="A137" i="3"/>
  <c r="F136" i="3"/>
  <c r="D136" i="3"/>
  <c r="C136" i="3"/>
  <c r="B136" i="3"/>
  <c r="A136" i="3"/>
  <c r="F135" i="3"/>
  <c r="E135" i="3"/>
  <c r="D135" i="3"/>
  <c r="C135" i="3"/>
  <c r="B135" i="3"/>
  <c r="A135" i="3"/>
  <c r="F134" i="3"/>
  <c r="E134" i="3"/>
  <c r="D134" i="3"/>
  <c r="C134" i="3"/>
  <c r="B134" i="3"/>
  <c r="A134" i="3"/>
  <c r="F133" i="3"/>
  <c r="E133" i="3"/>
  <c r="D133" i="3"/>
  <c r="C133" i="3"/>
  <c r="B133" i="3"/>
  <c r="A133" i="3"/>
  <c r="F132" i="3"/>
  <c r="E132" i="3"/>
  <c r="D132" i="3"/>
  <c r="C132" i="3"/>
  <c r="B132" i="3"/>
  <c r="A132" i="3"/>
  <c r="D131" i="3"/>
  <c r="C131" i="3"/>
  <c r="B131" i="3"/>
  <c r="A131" i="3"/>
  <c r="F130" i="3"/>
  <c r="E130" i="3"/>
  <c r="D130" i="3"/>
  <c r="C130" i="3"/>
  <c r="B130" i="3"/>
  <c r="A130" i="3"/>
  <c r="D129" i="3"/>
  <c r="C129" i="3"/>
  <c r="B129" i="3"/>
  <c r="A129" i="3"/>
  <c r="F128" i="3"/>
  <c r="E128" i="3"/>
  <c r="D128" i="3"/>
  <c r="C128" i="3"/>
  <c r="B128" i="3"/>
  <c r="A128" i="3"/>
  <c r="F127" i="3"/>
  <c r="E127" i="3"/>
  <c r="D127" i="3"/>
  <c r="C127" i="3"/>
  <c r="B127" i="3"/>
  <c r="A127" i="3"/>
  <c r="F126" i="3"/>
  <c r="E126" i="3"/>
  <c r="D126" i="3"/>
  <c r="C126" i="3"/>
  <c r="B126" i="3"/>
  <c r="A126" i="3"/>
  <c r="F125" i="3"/>
  <c r="E125" i="3"/>
  <c r="D125" i="3"/>
  <c r="C125" i="3"/>
  <c r="B125" i="3"/>
  <c r="A125" i="3"/>
  <c r="F124" i="3"/>
  <c r="E124" i="3"/>
  <c r="D124" i="3"/>
  <c r="C124" i="3"/>
  <c r="B124" i="3"/>
  <c r="A124" i="3"/>
  <c r="F123" i="3"/>
  <c r="E123" i="3"/>
  <c r="D123" i="3"/>
  <c r="C123" i="3"/>
  <c r="B123" i="3"/>
  <c r="A123" i="3"/>
  <c r="F122" i="3"/>
  <c r="E122" i="3"/>
  <c r="D122" i="3"/>
  <c r="C122" i="3"/>
  <c r="B122" i="3"/>
  <c r="A122" i="3"/>
  <c r="F121" i="3"/>
  <c r="E121" i="3"/>
  <c r="D121" i="3"/>
  <c r="C121" i="3"/>
  <c r="B121" i="3"/>
  <c r="A121" i="3"/>
  <c r="F120" i="3"/>
  <c r="E120" i="3"/>
  <c r="D120" i="3"/>
  <c r="C120" i="3"/>
  <c r="B120" i="3"/>
  <c r="A120" i="3"/>
  <c r="D119" i="3"/>
  <c r="C119" i="3"/>
  <c r="B119" i="3"/>
  <c r="A119" i="3"/>
  <c r="D118" i="3"/>
  <c r="C118" i="3"/>
  <c r="B118" i="3"/>
  <c r="A118" i="3"/>
  <c r="D117" i="3"/>
  <c r="C117" i="3"/>
  <c r="B117" i="3"/>
  <c r="A117" i="3"/>
  <c r="F116" i="3"/>
  <c r="E116" i="3"/>
  <c r="D116" i="3"/>
  <c r="C116" i="3"/>
  <c r="B116" i="3"/>
  <c r="A116" i="3"/>
  <c r="F115" i="3"/>
  <c r="E115" i="3"/>
  <c r="D115" i="3"/>
  <c r="C115" i="3"/>
  <c r="B115" i="3"/>
  <c r="A115" i="3"/>
  <c r="F114" i="3"/>
  <c r="E114" i="3"/>
  <c r="D114" i="3"/>
  <c r="C114" i="3"/>
  <c r="B114" i="3"/>
  <c r="A114" i="3"/>
  <c r="D113" i="3"/>
  <c r="C113" i="3"/>
  <c r="B113" i="3"/>
  <c r="A113" i="3"/>
  <c r="F112" i="3"/>
  <c r="E112" i="3"/>
  <c r="D112" i="3"/>
  <c r="C112" i="3"/>
  <c r="B112" i="3"/>
  <c r="A112" i="3"/>
  <c r="F111" i="3"/>
  <c r="E111" i="3"/>
  <c r="D111" i="3"/>
  <c r="C111" i="3"/>
  <c r="B111" i="3"/>
  <c r="A111" i="3"/>
  <c r="F110" i="3"/>
  <c r="E110" i="3"/>
  <c r="D110" i="3"/>
  <c r="C110" i="3"/>
  <c r="B110" i="3"/>
  <c r="A110" i="3"/>
  <c r="F109" i="3"/>
  <c r="E109" i="3"/>
  <c r="D109" i="3"/>
  <c r="C109" i="3"/>
  <c r="B109" i="3"/>
  <c r="A109" i="3"/>
  <c r="F108" i="3"/>
  <c r="E108" i="3"/>
  <c r="D108" i="3"/>
  <c r="C108" i="3"/>
  <c r="B108" i="3"/>
  <c r="A108" i="3"/>
  <c r="F107" i="3"/>
  <c r="E107" i="3"/>
  <c r="D107" i="3"/>
  <c r="C107" i="3"/>
  <c r="B107" i="3"/>
  <c r="A107" i="3"/>
  <c r="F106" i="3"/>
  <c r="E106" i="3"/>
  <c r="D106" i="3"/>
  <c r="C106" i="3"/>
  <c r="B106" i="3"/>
  <c r="A106" i="3"/>
  <c r="D105" i="3"/>
  <c r="C105" i="3"/>
  <c r="B105" i="3"/>
  <c r="A105" i="3"/>
  <c r="F104" i="3"/>
  <c r="E104" i="3"/>
  <c r="D104" i="3"/>
  <c r="C104" i="3"/>
  <c r="B104" i="3"/>
  <c r="A104" i="3"/>
  <c r="F103" i="3"/>
  <c r="E103" i="3"/>
  <c r="D103" i="3"/>
  <c r="C103" i="3"/>
  <c r="B103" i="3"/>
  <c r="A103" i="3"/>
  <c r="D102" i="3"/>
  <c r="C102" i="3"/>
  <c r="B102" i="3"/>
  <c r="A102" i="3"/>
  <c r="F101" i="3"/>
  <c r="E101" i="3"/>
  <c r="D101" i="3"/>
  <c r="C101" i="3"/>
  <c r="B101" i="3"/>
  <c r="A101" i="3"/>
  <c r="F100" i="3"/>
  <c r="E100" i="3"/>
  <c r="D100" i="3"/>
  <c r="C100" i="3"/>
  <c r="B100" i="3"/>
  <c r="A100" i="3"/>
  <c r="F99" i="3"/>
  <c r="E99" i="3"/>
  <c r="D99" i="3"/>
  <c r="C99" i="3"/>
  <c r="B99" i="3"/>
  <c r="A99" i="3"/>
  <c r="F98" i="3"/>
  <c r="E98" i="3"/>
  <c r="D98" i="3"/>
  <c r="C98" i="3"/>
  <c r="B98" i="3"/>
  <c r="A98" i="3"/>
  <c r="F97" i="3"/>
  <c r="E97" i="3"/>
  <c r="D97" i="3"/>
  <c r="C97" i="3"/>
  <c r="B97" i="3"/>
  <c r="A97" i="3"/>
  <c r="D96" i="3"/>
  <c r="C96" i="3"/>
  <c r="B96" i="3"/>
  <c r="A96" i="3"/>
  <c r="F95" i="3"/>
  <c r="E95" i="3"/>
  <c r="D95" i="3"/>
  <c r="C95" i="3"/>
  <c r="B95" i="3"/>
  <c r="A95" i="3"/>
  <c r="F94" i="3"/>
  <c r="E94" i="3"/>
  <c r="D94" i="3"/>
  <c r="C94" i="3"/>
  <c r="B94" i="3"/>
  <c r="A94" i="3"/>
  <c r="F93" i="3"/>
  <c r="E93" i="3"/>
  <c r="D93" i="3"/>
  <c r="C93" i="3"/>
  <c r="B93" i="3"/>
  <c r="A93" i="3"/>
  <c r="F92" i="3"/>
  <c r="E92" i="3"/>
  <c r="D92" i="3"/>
  <c r="C92" i="3"/>
  <c r="B92" i="3"/>
  <c r="A92" i="3"/>
  <c r="F91" i="3"/>
  <c r="E91" i="3"/>
  <c r="D91" i="3"/>
  <c r="C91" i="3"/>
  <c r="B91" i="3"/>
  <c r="A91" i="3"/>
  <c r="D90" i="3"/>
  <c r="C90" i="3"/>
  <c r="B90" i="3"/>
  <c r="A90" i="3"/>
  <c r="F89" i="3"/>
  <c r="E89" i="3"/>
  <c r="D89" i="3"/>
  <c r="C89" i="3"/>
  <c r="B89" i="3"/>
  <c r="A89" i="3"/>
  <c r="F88" i="3"/>
  <c r="E88" i="3"/>
  <c r="D88" i="3"/>
  <c r="C88" i="3"/>
  <c r="B88" i="3"/>
  <c r="A88" i="3"/>
  <c r="F87" i="3"/>
  <c r="E87" i="3"/>
  <c r="D87" i="3"/>
  <c r="C87" i="3"/>
  <c r="B87" i="3"/>
  <c r="A87" i="3"/>
  <c r="F86" i="3"/>
  <c r="E86" i="3"/>
  <c r="D86" i="3"/>
  <c r="C86" i="3"/>
  <c r="B86" i="3"/>
  <c r="A86" i="3"/>
  <c r="F85" i="3"/>
  <c r="E85" i="3"/>
  <c r="D85" i="3"/>
  <c r="C85" i="3"/>
  <c r="B85" i="3"/>
  <c r="A85" i="3"/>
  <c r="F84" i="3"/>
  <c r="E84" i="3"/>
  <c r="D84" i="3"/>
  <c r="C84" i="3"/>
  <c r="B84" i="3"/>
  <c r="A84" i="3"/>
  <c r="D83" i="3"/>
  <c r="C83" i="3"/>
  <c r="B83" i="3"/>
  <c r="A83" i="3"/>
  <c r="F82" i="3"/>
  <c r="E82" i="3"/>
  <c r="D82" i="3"/>
  <c r="C82" i="3"/>
  <c r="B82" i="3"/>
  <c r="A82" i="3"/>
  <c r="D81" i="3"/>
  <c r="C81" i="3"/>
  <c r="B81" i="3"/>
  <c r="A81" i="3"/>
  <c r="D80" i="3"/>
  <c r="C80" i="3"/>
  <c r="B80" i="3"/>
  <c r="A80" i="3"/>
  <c r="D79" i="3"/>
  <c r="C79" i="3"/>
  <c r="B79" i="3"/>
  <c r="A79" i="3"/>
  <c r="F78" i="3"/>
  <c r="E78" i="3"/>
  <c r="D78" i="3"/>
  <c r="C78" i="3"/>
  <c r="B78" i="3"/>
  <c r="A78" i="3"/>
  <c r="F77" i="3"/>
  <c r="E77" i="3"/>
  <c r="D77" i="3"/>
  <c r="C77" i="3"/>
  <c r="B77" i="3"/>
  <c r="A77" i="3"/>
  <c r="D76" i="3"/>
  <c r="C76" i="3"/>
  <c r="B76" i="3"/>
  <c r="A76" i="3"/>
  <c r="D75" i="3"/>
  <c r="C75" i="3"/>
  <c r="B75" i="3"/>
  <c r="A75" i="3"/>
  <c r="F74" i="3"/>
  <c r="E74" i="3"/>
  <c r="D74" i="3"/>
  <c r="C74" i="3"/>
  <c r="B74" i="3"/>
  <c r="A74" i="3"/>
  <c r="D73" i="3"/>
  <c r="C73" i="3"/>
  <c r="B73" i="3"/>
  <c r="A73" i="3"/>
  <c r="F72" i="3"/>
  <c r="E72" i="3"/>
  <c r="D72" i="3"/>
  <c r="C72" i="3"/>
  <c r="B72" i="3"/>
  <c r="A72" i="3"/>
  <c r="F71" i="3"/>
  <c r="E71" i="3"/>
  <c r="D71" i="3"/>
  <c r="C71" i="3"/>
  <c r="B71" i="3"/>
  <c r="A71" i="3"/>
  <c r="F70" i="3"/>
  <c r="E70" i="3"/>
  <c r="D70" i="3"/>
  <c r="C70" i="3"/>
  <c r="B70" i="3"/>
  <c r="A70" i="3"/>
  <c r="D69" i="3"/>
  <c r="C69" i="3"/>
  <c r="B69" i="3"/>
  <c r="A69" i="3"/>
  <c r="F68" i="3"/>
  <c r="E68" i="3"/>
  <c r="D68" i="3"/>
  <c r="C68" i="3"/>
  <c r="B68" i="3"/>
  <c r="A68" i="3"/>
  <c r="D67" i="3"/>
  <c r="C67" i="3"/>
  <c r="B67" i="3"/>
  <c r="A67" i="3"/>
  <c r="F66" i="3"/>
  <c r="E66" i="3"/>
  <c r="D66" i="3"/>
  <c r="C66" i="3"/>
  <c r="B66" i="3"/>
  <c r="A66" i="3"/>
  <c r="F65" i="3"/>
  <c r="E65" i="3"/>
  <c r="D65" i="3"/>
  <c r="C65" i="3"/>
  <c r="B65" i="3"/>
  <c r="A65" i="3"/>
  <c r="F64" i="3"/>
  <c r="E64" i="3"/>
  <c r="D64" i="3"/>
  <c r="C64" i="3"/>
  <c r="B64" i="3"/>
  <c r="A64" i="3"/>
  <c r="F63" i="3"/>
  <c r="E63" i="3"/>
  <c r="D63" i="3"/>
  <c r="C63" i="3"/>
  <c r="B63" i="3"/>
  <c r="A63" i="3"/>
  <c r="F62" i="3"/>
  <c r="E62" i="3"/>
  <c r="D62" i="3"/>
  <c r="C62" i="3"/>
  <c r="B62" i="3"/>
  <c r="A62" i="3"/>
  <c r="D61" i="3"/>
  <c r="C61" i="3"/>
  <c r="B61" i="3"/>
  <c r="A61" i="3"/>
  <c r="D60" i="3"/>
  <c r="C60" i="3"/>
  <c r="B60" i="3"/>
  <c r="A60" i="3"/>
  <c r="D59" i="3"/>
  <c r="C59" i="3"/>
  <c r="B59" i="3"/>
  <c r="A59" i="3"/>
  <c r="F58" i="3"/>
  <c r="E58" i="3"/>
  <c r="D58" i="3"/>
  <c r="C58" i="3"/>
  <c r="B58" i="3"/>
  <c r="A58" i="3"/>
  <c r="F57" i="3"/>
  <c r="E57" i="3"/>
  <c r="D57" i="3"/>
  <c r="C57" i="3"/>
  <c r="B57" i="3"/>
  <c r="A57" i="3"/>
  <c r="F56" i="3"/>
  <c r="E56" i="3"/>
  <c r="D56" i="3"/>
  <c r="C56" i="3"/>
  <c r="B56" i="3"/>
  <c r="A56" i="3"/>
  <c r="F55" i="3"/>
  <c r="E55" i="3"/>
  <c r="D55" i="3"/>
  <c r="C55" i="3"/>
  <c r="B55" i="3"/>
  <c r="A55" i="3"/>
  <c r="D54" i="3"/>
  <c r="C54" i="3"/>
  <c r="B54" i="3"/>
  <c r="A54" i="3"/>
  <c r="F53" i="3"/>
  <c r="E53" i="3"/>
  <c r="D53" i="3"/>
  <c r="C53" i="3"/>
  <c r="B53" i="3"/>
  <c r="A53" i="3"/>
  <c r="D52" i="3"/>
  <c r="C52" i="3"/>
  <c r="B52" i="3"/>
  <c r="A52" i="3"/>
  <c r="F51" i="3"/>
  <c r="E51" i="3"/>
  <c r="D51" i="3"/>
  <c r="C51" i="3"/>
  <c r="B51" i="3"/>
  <c r="A51" i="3"/>
  <c r="F50" i="3"/>
  <c r="E50" i="3"/>
  <c r="D50" i="3"/>
  <c r="C50" i="3"/>
  <c r="B50" i="3"/>
  <c r="A50" i="3"/>
  <c r="F49" i="3"/>
  <c r="E49" i="3"/>
  <c r="D49" i="3"/>
  <c r="C49" i="3"/>
  <c r="B49" i="3"/>
  <c r="A49" i="3"/>
  <c r="F48" i="3"/>
  <c r="E48" i="3"/>
  <c r="D48" i="3"/>
  <c r="C48" i="3"/>
  <c r="B48" i="3"/>
  <c r="A48" i="3"/>
  <c r="D47" i="3"/>
  <c r="C47" i="3"/>
  <c r="B47" i="3"/>
  <c r="A47" i="3"/>
  <c r="F46" i="3"/>
  <c r="E46" i="3"/>
  <c r="D46" i="3"/>
  <c r="C46" i="3"/>
  <c r="B46" i="3"/>
  <c r="A46" i="3"/>
  <c r="F45" i="3"/>
  <c r="E45" i="3"/>
  <c r="D45" i="3"/>
  <c r="C45" i="3"/>
  <c r="B45" i="3"/>
  <c r="A45" i="3"/>
  <c r="F44" i="3"/>
  <c r="E44" i="3"/>
  <c r="D44" i="3"/>
  <c r="C44" i="3"/>
  <c r="B44" i="3"/>
  <c r="A44" i="3"/>
  <c r="F43" i="3"/>
  <c r="E43" i="3"/>
  <c r="D43" i="3"/>
  <c r="C43" i="3"/>
  <c r="B43" i="3"/>
  <c r="A43" i="3"/>
  <c r="F42" i="3"/>
  <c r="E42" i="3"/>
  <c r="D42" i="3"/>
  <c r="C42" i="3"/>
  <c r="B42" i="3"/>
  <c r="A42" i="3"/>
  <c r="F41" i="3"/>
  <c r="E41" i="3"/>
  <c r="D41" i="3"/>
  <c r="C41" i="3"/>
  <c r="B41" i="3"/>
  <c r="A41" i="3"/>
  <c r="D40" i="3"/>
  <c r="C40" i="3"/>
  <c r="B40" i="3"/>
  <c r="A40" i="3"/>
  <c r="D39" i="3"/>
  <c r="C39" i="3"/>
  <c r="B39" i="3"/>
  <c r="A39" i="3"/>
  <c r="D38" i="3"/>
  <c r="C38" i="3"/>
  <c r="B38" i="3"/>
  <c r="A38" i="3"/>
  <c r="F37" i="3"/>
  <c r="E37" i="3"/>
  <c r="D37" i="3"/>
  <c r="C37" i="3"/>
  <c r="B37" i="3"/>
  <c r="A37" i="3"/>
  <c r="D36" i="3"/>
  <c r="C36" i="3"/>
  <c r="B36" i="3"/>
  <c r="A36" i="3"/>
  <c r="F35" i="3"/>
  <c r="E35" i="3"/>
  <c r="D35" i="3"/>
  <c r="C35" i="3"/>
  <c r="B35" i="3"/>
  <c r="A35" i="3"/>
  <c r="F34" i="3"/>
  <c r="E34" i="3"/>
  <c r="D34" i="3"/>
  <c r="C34" i="3"/>
  <c r="B34" i="3"/>
  <c r="A34" i="3"/>
  <c r="D33" i="3"/>
  <c r="C33" i="3"/>
  <c r="B33" i="3"/>
  <c r="A33" i="3"/>
  <c r="F32" i="3"/>
  <c r="E32" i="3"/>
  <c r="D32" i="3"/>
  <c r="C32" i="3"/>
  <c r="B32" i="3"/>
  <c r="A32" i="3"/>
  <c r="D31" i="3"/>
  <c r="C31" i="3"/>
  <c r="B31" i="3"/>
  <c r="A31" i="3"/>
  <c r="F30" i="3"/>
  <c r="E30" i="3"/>
  <c r="D30" i="3"/>
  <c r="C30" i="3"/>
  <c r="B30" i="3"/>
  <c r="A30" i="3"/>
  <c r="F29" i="3"/>
  <c r="E29" i="3"/>
  <c r="D29" i="3"/>
  <c r="C29" i="3"/>
  <c r="B29" i="3"/>
  <c r="A29" i="3"/>
  <c r="F28" i="3"/>
  <c r="E28" i="3"/>
  <c r="D28" i="3"/>
  <c r="C28" i="3"/>
  <c r="B28" i="3"/>
  <c r="A28" i="3"/>
  <c r="D27" i="3"/>
  <c r="C27" i="3"/>
  <c r="B27" i="3"/>
  <c r="A27" i="3"/>
  <c r="F26" i="3"/>
  <c r="E26" i="3"/>
  <c r="D26" i="3"/>
  <c r="C26" i="3"/>
  <c r="B26" i="3"/>
  <c r="A26" i="3"/>
  <c r="D25" i="3"/>
  <c r="C25" i="3"/>
  <c r="B25" i="3"/>
  <c r="A25" i="3"/>
  <c r="F24" i="3"/>
  <c r="E24" i="3"/>
  <c r="D24" i="3"/>
  <c r="C24" i="3"/>
  <c r="B24" i="3"/>
  <c r="A24" i="3"/>
  <c r="F23" i="3"/>
  <c r="E23" i="3"/>
  <c r="D23" i="3"/>
  <c r="C23" i="3"/>
  <c r="B23" i="3"/>
  <c r="A23" i="3"/>
  <c r="F22" i="3"/>
  <c r="E22" i="3"/>
  <c r="D22" i="3"/>
  <c r="C22" i="3"/>
  <c r="B22" i="3"/>
  <c r="A22" i="3"/>
  <c r="F21" i="3"/>
  <c r="E21" i="3"/>
  <c r="D21" i="3"/>
  <c r="C21" i="3"/>
  <c r="B21" i="3"/>
  <c r="A21" i="3"/>
  <c r="F20" i="3"/>
  <c r="E20" i="3"/>
  <c r="D20" i="3"/>
  <c r="C20" i="3"/>
  <c r="B20" i="3"/>
  <c r="A20" i="3"/>
  <c r="F19" i="3"/>
  <c r="E19" i="3"/>
  <c r="D19" i="3"/>
  <c r="C19" i="3"/>
  <c r="B19" i="3"/>
  <c r="A19" i="3"/>
  <c r="F18" i="3"/>
  <c r="E18" i="3"/>
  <c r="D18" i="3"/>
  <c r="C18" i="3"/>
  <c r="B18" i="3"/>
  <c r="A18" i="3"/>
  <c r="F17" i="3"/>
  <c r="E17" i="3"/>
  <c r="D17" i="3"/>
  <c r="C17" i="3"/>
  <c r="B17" i="3"/>
  <c r="A17" i="3"/>
  <c r="F16" i="3"/>
  <c r="E16" i="3"/>
  <c r="D16" i="3"/>
  <c r="C16" i="3"/>
  <c r="B16" i="3"/>
  <c r="A16" i="3"/>
  <c r="F15" i="3"/>
  <c r="E15" i="3"/>
  <c r="D15" i="3"/>
  <c r="C15" i="3"/>
  <c r="B15" i="3"/>
  <c r="A15" i="3"/>
  <c r="D14" i="3"/>
  <c r="C14" i="3"/>
  <c r="B14" i="3"/>
  <c r="A14" i="3"/>
  <c r="F13" i="3"/>
  <c r="E13" i="3"/>
  <c r="D13" i="3"/>
  <c r="C13" i="3"/>
  <c r="B13" i="3"/>
  <c r="A13" i="3"/>
  <c r="F12" i="3"/>
  <c r="E12" i="3"/>
  <c r="D12" i="3"/>
  <c r="C12" i="3"/>
  <c r="B12" i="3"/>
  <c r="A12" i="3"/>
  <c r="F11" i="3"/>
  <c r="E11" i="3"/>
  <c r="D11" i="3"/>
  <c r="C11" i="3"/>
  <c r="B11" i="3"/>
  <c r="A11" i="3"/>
  <c r="F10" i="3"/>
  <c r="E10" i="3"/>
  <c r="D10" i="3"/>
  <c r="C10" i="3"/>
  <c r="B10" i="3"/>
  <c r="A10" i="3"/>
  <c r="F9" i="3"/>
  <c r="E9" i="3"/>
  <c r="D9" i="3"/>
  <c r="C9" i="3"/>
  <c r="B9" i="3"/>
  <c r="A9" i="3"/>
  <c r="F8" i="3"/>
  <c r="E8" i="3"/>
  <c r="D8" i="3"/>
  <c r="C8" i="3"/>
  <c r="B8" i="3"/>
  <c r="A8" i="3"/>
  <c r="F7" i="3"/>
  <c r="E7" i="3"/>
  <c r="D7" i="3"/>
  <c r="C7" i="3"/>
  <c r="B7" i="3"/>
  <c r="A7" i="3"/>
  <c r="F6" i="3"/>
  <c r="E6" i="3"/>
  <c r="D6" i="3"/>
  <c r="C6" i="3"/>
  <c r="B6" i="3"/>
  <c r="A6" i="3"/>
  <c r="D5" i="3"/>
  <c r="C5" i="3"/>
  <c r="B5" i="3"/>
  <c r="A5" i="3"/>
  <c r="D4" i="3"/>
  <c r="C4" i="3"/>
  <c r="B4" i="3"/>
  <c r="A4" i="3"/>
  <c r="D3" i="3"/>
  <c r="C3" i="3"/>
  <c r="B3" i="3"/>
  <c r="A3" i="3"/>
  <c r="F2" i="3"/>
  <c r="E2" i="3"/>
  <c r="D2" i="3"/>
  <c r="C2" i="3"/>
  <c r="B2" i="3"/>
  <c r="A2" i="3"/>
  <c r="F1" i="3"/>
  <c r="E1" i="3"/>
  <c r="D1" i="3"/>
  <c r="C1" i="3"/>
  <c r="B1" i="3"/>
  <c r="A1" i="3"/>
  <c r="E80" i="2" a="1"/>
  <c r="E80" i="2" s="1"/>
  <c r="D80" i="2" a="1"/>
  <c r="D80" i="2" s="1"/>
  <c r="C80" i="2" a="1"/>
  <c r="C80" i="2" s="1"/>
  <c r="E79" i="2" a="1"/>
  <c r="E79" i="2" s="1"/>
  <c r="D79" i="2" a="1"/>
  <c r="D79" i="2" s="1"/>
  <c r="C79" i="2" a="1"/>
  <c r="C79" i="2" s="1"/>
  <c r="E78" i="2" a="1"/>
  <c r="E78" i="2" s="1"/>
  <c r="D78" i="2" a="1"/>
  <c r="D78" i="2" s="1"/>
  <c r="C78" i="2" a="1"/>
  <c r="C78" i="2" s="1"/>
  <c r="C77" i="2" a="1"/>
  <c r="C77" i="2" s="1"/>
  <c r="C76" i="2" a="1"/>
  <c r="C76" i="2" s="1"/>
  <c r="C75" i="2" a="1"/>
  <c r="C75" i="2" s="1"/>
  <c r="E74" i="2" a="1"/>
  <c r="E74" i="2" s="1"/>
  <c r="D74" i="2" a="1"/>
  <c r="D74" i="2" s="1"/>
  <c r="C74" i="2" a="1"/>
  <c r="C74" i="2" s="1"/>
  <c r="E73" i="2" a="1"/>
  <c r="E73" i="2" s="1"/>
  <c r="D73" i="2" a="1"/>
  <c r="D73" i="2" s="1"/>
  <c r="C73" i="2" a="1"/>
  <c r="C73" i="2" s="1"/>
  <c r="E72" i="2" a="1"/>
  <c r="E72" i="2" s="1"/>
  <c r="D72" i="2" a="1"/>
  <c r="D72" i="2" s="1"/>
  <c r="C72" i="2" a="1"/>
  <c r="C72" i="2" s="1"/>
  <c r="E71" i="2" a="1"/>
  <c r="E71" i="2" s="1"/>
  <c r="D71" i="2" a="1"/>
  <c r="D71" i="2" s="1"/>
  <c r="C71" i="2" a="1"/>
  <c r="C71" i="2" s="1"/>
  <c r="C70" i="2" a="1"/>
  <c r="C70" i="2" s="1"/>
  <c r="E69" i="2" a="1"/>
  <c r="E69" i="2" s="1"/>
  <c r="D69" i="2" a="1"/>
  <c r="D69" i="2" s="1"/>
  <c r="C69" i="2" a="1"/>
  <c r="C69" i="2" s="1"/>
  <c r="E68" i="2" a="1"/>
  <c r="E68" i="2" s="1"/>
  <c r="D68" i="2" a="1"/>
  <c r="D68" i="2" s="1"/>
  <c r="C68" i="2" a="1"/>
  <c r="C68" i="2" s="1"/>
  <c r="E67" i="2" a="1"/>
  <c r="E67" i="2" s="1"/>
  <c r="D67" i="2" a="1"/>
  <c r="D67" i="2" s="1"/>
  <c r="C67" i="2" a="1"/>
  <c r="C67" i="2" s="1"/>
  <c r="C66" i="2" a="1"/>
  <c r="C66" i="2" s="1"/>
  <c r="E65" i="2" a="1"/>
  <c r="E65" i="2" s="1"/>
  <c r="D65" i="2" a="1"/>
  <c r="D65" i="2" s="1"/>
  <c r="C65" i="2" a="1"/>
  <c r="C65" i="2" s="1"/>
  <c r="E64" i="2" a="1"/>
  <c r="E64" i="2" s="1"/>
  <c r="D64" i="2" a="1"/>
  <c r="D64" i="2" s="1"/>
  <c r="C64" i="2" a="1"/>
  <c r="C64" i="2" s="1"/>
  <c r="E63" i="2" a="1"/>
  <c r="E63" i="2" s="1"/>
  <c r="D63" i="2" a="1"/>
  <c r="D63" i="2" s="1"/>
  <c r="C63" i="2" a="1"/>
  <c r="C63" i="2" s="1"/>
  <c r="C62" i="2" a="1"/>
  <c r="C62" i="2" s="1"/>
  <c r="E61" i="2" a="1"/>
  <c r="E61" i="2" s="1"/>
  <c r="D61" i="2" a="1"/>
  <c r="D61" i="2" s="1"/>
  <c r="C61" i="2" a="1"/>
  <c r="C61" i="2" s="1"/>
  <c r="C60" i="2" a="1"/>
  <c r="C60" i="2" s="1"/>
  <c r="E59" i="2" a="1"/>
  <c r="E59" i="2" s="1"/>
  <c r="D59" i="2" a="1"/>
  <c r="D59" i="2" s="1"/>
  <c r="C59" i="2" a="1"/>
  <c r="C59" i="2" s="1"/>
  <c r="C58" i="2" a="1"/>
  <c r="C58" i="2" s="1"/>
  <c r="E57" i="2" a="1"/>
  <c r="E57" i="2" s="1"/>
  <c r="D57" i="2" a="1"/>
  <c r="D57" i="2" s="1"/>
  <c r="C57" i="2" a="1"/>
  <c r="C57" i="2" s="1"/>
  <c r="E56" i="2" a="1"/>
  <c r="E56" i="2" s="1"/>
  <c r="D56" i="2" a="1"/>
  <c r="D56" i="2" s="1"/>
  <c r="C56" i="2" a="1"/>
  <c r="C56" i="2" s="1"/>
  <c r="C55" i="2" a="1"/>
  <c r="C55" i="2" s="1"/>
  <c r="E54" i="2" a="1"/>
  <c r="E54" i="2" s="1"/>
  <c r="D54" i="2" a="1"/>
  <c r="D54" i="2" s="1"/>
  <c r="C54" i="2" a="1"/>
  <c r="C54" i="2" s="1"/>
  <c r="C53" i="2" a="1"/>
  <c r="C53" i="2" s="1"/>
  <c r="E52" i="2" a="1"/>
  <c r="E52" i="2" s="1"/>
  <c r="D52" i="2" a="1"/>
  <c r="D52" i="2" s="1"/>
  <c r="C52" i="2" a="1"/>
  <c r="C52" i="2" s="1"/>
  <c r="E51" i="2" a="1"/>
  <c r="E51" i="2" s="1"/>
  <c r="D51" i="2" a="1"/>
  <c r="D51" i="2" s="1"/>
  <c r="C51" i="2" a="1"/>
  <c r="C51" i="2" s="1"/>
  <c r="C50" i="2" a="1"/>
  <c r="C50" i="2" s="1"/>
  <c r="C49" i="2" a="1"/>
  <c r="C49" i="2" s="1"/>
  <c r="E48" i="2" a="1"/>
  <c r="E48" i="2" s="1"/>
  <c r="D48" i="2" a="1"/>
  <c r="D48" i="2" s="1"/>
  <c r="C48" i="2" a="1"/>
  <c r="C48" i="2" s="1"/>
  <c r="E47" i="2" a="1"/>
  <c r="E47" i="2" s="1"/>
  <c r="D47" i="2" a="1"/>
  <c r="D47" i="2" s="1"/>
  <c r="C47" i="2" a="1"/>
  <c r="C47" i="2" s="1"/>
  <c r="C46" i="2" a="1"/>
  <c r="C46" i="2" s="1"/>
  <c r="E45" i="2" a="1"/>
  <c r="E45" i="2" s="1"/>
  <c r="D45" i="2" a="1"/>
  <c r="D45" i="2" s="1"/>
  <c r="C45" i="2" a="1"/>
  <c r="C45" i="2" s="1"/>
  <c r="E44" i="2" a="1"/>
  <c r="E44" i="2" s="1"/>
  <c r="D44" i="2" a="1"/>
  <c r="D44" i="2" s="1"/>
  <c r="C44" i="2" a="1"/>
  <c r="C44" i="2" s="1"/>
  <c r="E43" i="2" a="1"/>
  <c r="E43" i="2" s="1"/>
  <c r="D43" i="2" a="1"/>
  <c r="D43" i="2" s="1"/>
  <c r="C43" i="2" a="1"/>
  <c r="C43" i="2" s="1"/>
  <c r="E42" i="2" a="1"/>
  <c r="E42" i="2" s="1"/>
  <c r="D42" i="2" a="1"/>
  <c r="D42" i="2" s="1"/>
  <c r="C42" i="2" a="1"/>
  <c r="C42" i="2" s="1"/>
  <c r="E41" i="2" a="1"/>
  <c r="E41" i="2" s="1"/>
  <c r="D41" i="2" a="1"/>
  <c r="D41" i="2" s="1"/>
  <c r="C41" i="2" a="1"/>
  <c r="C41" i="2" s="1"/>
  <c r="E40" i="2" a="1"/>
  <c r="E40" i="2" s="1"/>
  <c r="D40" i="2" a="1"/>
  <c r="D40" i="2" s="1"/>
  <c r="C40" i="2" a="1"/>
  <c r="C40" i="2" s="1"/>
  <c r="E39" i="2" a="1"/>
  <c r="E39" i="2" s="1"/>
  <c r="D39" i="2" a="1"/>
  <c r="D39" i="2" s="1"/>
  <c r="C39" i="2" a="1"/>
  <c r="C39" i="2" s="1"/>
  <c r="E38" i="2" a="1"/>
  <c r="E38" i="2" s="1"/>
  <c r="D38" i="2" a="1"/>
  <c r="D38" i="2" s="1"/>
  <c r="C38" i="2" a="1"/>
  <c r="C38" i="2" s="1"/>
  <c r="E37" i="2" a="1"/>
  <c r="E37" i="2" s="1"/>
  <c r="D37" i="2" a="1"/>
  <c r="D37" i="2" s="1"/>
  <c r="C37" i="2" a="1"/>
  <c r="C37" i="2" s="1"/>
  <c r="E36" i="2" a="1"/>
  <c r="E36" i="2" s="1"/>
  <c r="D36" i="2" a="1"/>
  <c r="D36" i="2" s="1"/>
  <c r="C36" i="2" a="1"/>
  <c r="C36" i="2" s="1"/>
  <c r="E35" i="2" a="1"/>
  <c r="E35" i="2" s="1"/>
  <c r="D35" i="2" a="1"/>
  <c r="D35" i="2" s="1"/>
  <c r="C35" i="2" a="1"/>
  <c r="C35" i="2" s="1"/>
  <c r="C34" i="2" a="1"/>
  <c r="C34" i="2" s="1"/>
  <c r="E33" i="2" a="1"/>
  <c r="E33" i="2" s="1"/>
  <c r="D33" i="2" a="1"/>
  <c r="D33" i="2" s="1"/>
  <c r="C33" i="2" a="1"/>
  <c r="C33" i="2" s="1"/>
  <c r="E32" i="2" a="1"/>
  <c r="E32" i="2" s="1"/>
  <c r="D32" i="2" a="1"/>
  <c r="D32" i="2" s="1"/>
  <c r="C32" i="2" a="1"/>
  <c r="C32" i="2" s="1"/>
  <c r="E31" i="2" a="1"/>
  <c r="E31" i="2" s="1"/>
  <c r="D31" i="2" a="1"/>
  <c r="D31" i="2" s="1"/>
  <c r="C31" i="2" a="1"/>
  <c r="C31" i="2" s="1"/>
  <c r="E30" i="2" a="1"/>
  <c r="E30" i="2" s="1"/>
  <c r="D30" i="2" a="1"/>
  <c r="D30" i="2" s="1"/>
  <c r="C30" i="2" a="1"/>
  <c r="C30" i="2" s="1"/>
  <c r="C29" i="2" a="1"/>
  <c r="C29" i="2" s="1"/>
  <c r="E28" i="2" a="1"/>
  <c r="E28" i="2" s="1"/>
  <c r="D28" i="2" a="1"/>
  <c r="D28" i="2" s="1"/>
  <c r="C28" i="2" a="1"/>
  <c r="C28" i="2" s="1"/>
  <c r="E27" i="2" a="1"/>
  <c r="E27" i="2" s="1"/>
  <c r="D27" i="2" a="1"/>
  <c r="D27" i="2" s="1"/>
  <c r="C27" i="2" a="1"/>
  <c r="C27" i="2" s="1"/>
  <c r="E26" i="2" a="1"/>
  <c r="E26" i="2" s="1"/>
  <c r="D26" i="2" a="1"/>
  <c r="D26" i="2" s="1"/>
  <c r="C26" i="2" a="1"/>
  <c r="C26" i="2" s="1"/>
  <c r="C25" i="2" a="1"/>
  <c r="C25" i="2" s="1"/>
  <c r="E24" i="2" a="1"/>
  <c r="E24" i="2" s="1"/>
  <c r="D24" i="2" a="1"/>
  <c r="D24" i="2" s="1"/>
  <c r="C24" i="2" a="1"/>
  <c r="C24" i="2" s="1"/>
  <c r="E23" i="2" a="1"/>
  <c r="E23" i="2" s="1"/>
  <c r="D23" i="2" a="1"/>
  <c r="D23" i="2" s="1"/>
  <c r="C23" i="2" a="1"/>
  <c r="C23" i="2" s="1"/>
  <c r="E22" i="2" a="1"/>
  <c r="E22" i="2" s="1"/>
  <c r="D22" i="2" a="1"/>
  <c r="D22" i="2" s="1"/>
  <c r="C22" i="2" a="1"/>
  <c r="C22" i="2" s="1"/>
  <c r="C21" i="2" a="1"/>
  <c r="C21" i="2" s="1"/>
  <c r="C20" i="2" a="1"/>
  <c r="C20" i="2" s="1"/>
  <c r="C19" i="2" a="1"/>
  <c r="C19" i="2" s="1"/>
  <c r="E18" i="2" a="1"/>
  <c r="E18" i="2" s="1"/>
  <c r="D18" i="2" a="1"/>
  <c r="D18" i="2" s="1"/>
  <c r="C18" i="2" a="1"/>
  <c r="C18" i="2" s="1"/>
  <c r="E17" i="2" a="1"/>
  <c r="E17" i="2" s="1"/>
  <c r="D17" i="2" a="1"/>
  <c r="D17" i="2" s="1"/>
  <c r="C17" i="2" a="1"/>
  <c r="C17" i="2" s="1"/>
  <c r="E16" i="2" a="1"/>
  <c r="E16" i="2" s="1"/>
  <c r="D16" i="2" a="1"/>
  <c r="D16" i="2" s="1"/>
  <c r="C16" i="2" a="1"/>
  <c r="C16" i="2" s="1"/>
  <c r="E15" i="2" a="1"/>
  <c r="E15" i="2" s="1"/>
  <c r="D15" i="2" a="1"/>
  <c r="D15" i="2" s="1"/>
  <c r="C15" i="2" a="1"/>
  <c r="C15" i="2" s="1"/>
  <c r="E14" i="2" a="1"/>
  <c r="E14" i="2" s="1"/>
  <c r="D14" i="2" a="1"/>
  <c r="D14" i="2" s="1"/>
  <c r="C14" i="2" a="1"/>
  <c r="C14" i="2" s="1"/>
  <c r="E13" i="2" a="1"/>
  <c r="E13" i="2" s="1"/>
  <c r="D13" i="2" a="1"/>
  <c r="D13" i="2" s="1"/>
  <c r="C13" i="2" a="1"/>
  <c r="C13" i="2" s="1"/>
  <c r="E12" i="2" a="1"/>
  <c r="E12" i="2" s="1"/>
  <c r="D12" i="2" a="1"/>
  <c r="D12" i="2" s="1"/>
  <c r="C12" i="2" a="1"/>
  <c r="C12" i="2" s="1"/>
  <c r="E11" i="2" a="1"/>
  <c r="E11" i="2" s="1"/>
  <c r="D11" i="2" a="1"/>
  <c r="D11" i="2" s="1"/>
  <c r="C11" i="2" a="1"/>
  <c r="C11" i="2" s="1"/>
  <c r="E10" i="2" a="1"/>
  <c r="E10" i="2" s="1"/>
  <c r="D10" i="2" a="1"/>
  <c r="D10" i="2" s="1"/>
  <c r="C10" i="2" a="1"/>
  <c r="C10" i="2" s="1"/>
  <c r="E9" i="2" a="1"/>
  <c r="E9" i="2" s="1"/>
  <c r="D9" i="2" a="1"/>
  <c r="D9" i="2" s="1"/>
  <c r="C9" i="2" a="1"/>
  <c r="C9" i="2" s="1"/>
  <c r="E8" i="2" a="1"/>
  <c r="E8" i="2" s="1"/>
  <c r="D8" i="2" a="1"/>
  <c r="D8" i="2" s="1"/>
  <c r="C8" i="2" a="1"/>
  <c r="C8" i="2" s="1"/>
  <c r="E7" i="2" a="1"/>
  <c r="E7" i="2" s="1"/>
  <c r="D7" i="2" a="1"/>
  <c r="D7" i="2" s="1"/>
  <c r="C7" i="2" a="1"/>
  <c r="C7" i="2" s="1"/>
  <c r="E6" i="2" a="1"/>
  <c r="E6" i="2" s="1"/>
  <c r="D6" i="2" a="1"/>
  <c r="D6" i="2" s="1"/>
  <c r="C6" i="2" a="1"/>
  <c r="C6" i="2" s="1"/>
  <c r="E5" i="2" a="1"/>
  <c r="E5" i="2" s="1"/>
  <c r="D5" i="2" a="1"/>
  <c r="D5" i="2" s="1"/>
  <c r="C5" i="2" a="1"/>
  <c r="C5" i="2" s="1"/>
  <c r="E4" i="2" a="1"/>
  <c r="E4" i="2" s="1"/>
  <c r="D4" i="2" a="1"/>
  <c r="D4" i="2" s="1"/>
  <c r="C4" i="2" a="1"/>
  <c r="C4" i="2" s="1"/>
  <c r="E3" i="2" a="1"/>
  <c r="E3" i="2" s="1"/>
  <c r="D3" i="2" a="1"/>
  <c r="D3" i="2" s="1"/>
  <c r="C3" i="2" a="1"/>
  <c r="C3" i="2" s="1"/>
  <c r="E2" i="2" a="1"/>
  <c r="E2" i="2" s="1"/>
  <c r="D2" i="2" a="1"/>
  <c r="D2" i="2" s="1"/>
  <c r="C2" i="2" a="1"/>
  <c r="C2" i="2" s="1"/>
</calcChain>
</file>

<file path=xl/sharedStrings.xml><?xml version="1.0" encoding="utf-8"?>
<sst xmlns="http://schemas.openxmlformats.org/spreadsheetml/2006/main" count="2172" uniqueCount="518">
  <si>
    <t>cust_id</t>
  </si>
  <si>
    <t>status cust_id</t>
  </si>
  <si>
    <t>Classificação Atual</t>
  </si>
  <si>
    <t>deals group on wpp?</t>
  </si>
  <si>
    <t>link</t>
  </si>
  <si>
    <t>Confirmado</t>
  </si>
  <si>
    <t>KAM - top 1000</t>
  </si>
  <si>
    <t>Sim</t>
  </si>
  <si>
    <t>https://chat.whatsapp.com/LBBRUqRFNeQElNvFBIvGiD</t>
  </si>
  <si>
    <t>https://chat.whatsapp.com/IR0gCURtqgZAJGne6meFbh</t>
  </si>
  <si>
    <r>
      <rPr>
        <u/>
        <sz val="9"/>
        <color rgb="FF1155CC"/>
        <rFont val="Proxima Nova"/>
      </rPr>
      <t>https://www.whatsapp.com/channel/0029VamngXq6xCSIPEEtlw01</t>
    </r>
    <r>
      <rPr>
        <sz val="9"/>
        <rFont val="Proxima Nova"/>
      </rPr>
      <t xml:space="preserve"> 
</t>
    </r>
    <r>
      <rPr>
        <u/>
        <sz val="9"/>
        <color rgb="FF1155CC"/>
        <rFont val="Proxima Nova"/>
      </rPr>
      <t>https://www.whatsapp.com/channel/0029VatvEAm3LdQSgVnsaV3X</t>
    </r>
    <r>
      <rPr>
        <sz val="9"/>
        <rFont val="Proxima Nova"/>
      </rPr>
      <t xml:space="preserve"> 
</t>
    </r>
    <r>
      <rPr>
        <u/>
        <sz val="9"/>
        <color rgb="FF1155CC"/>
        <rFont val="Proxima Nova"/>
      </rPr>
      <t>https://chat.whatsapp.com/JVIE5k7qfd3J3UDC0iotAD</t>
    </r>
  </si>
  <si>
    <t>https://chat.whatsapp.com/FYshNVla9hcBWbSoIwfGm3</t>
  </si>
  <si>
    <t>https://chat.whatsapp.com/KvP3btvte3j6t7w7m9Q6h7</t>
  </si>
  <si>
    <t>https://achadinhosimperdiveis.com.br/achadinho-grupo</t>
  </si>
  <si>
    <t>https://chat.whatsapp.com/EuscaPvDB4t2rTAC1gSG05</t>
  </si>
  <si>
    <t>https://sndflw.com/i/grupospromotop</t>
  </si>
  <si>
    <t>l.instagram.com/?u=https%3A%2F%2Fwhatsapp.com%2Fchannel%2F0029Vb6XAspJ3juxxcp3UH1i%3Ffbclid%3DPAZXh0bgNhZW0CMTEAAadBdK77zRWg5sZktionHSexH5za-rLvFztWXI3mhVIBOTXbG2kRXJWPnC65VQ_aem_ke8foGBPJza_P58nBxfqqg&amp;e=AT10GY-UGrn6D2i2SinDN0XgE7irReo8I-g3uQY097DN-WeG7aoFXDZopMQ0OwgnczwdqC8il0xWCJUkQDB1U0YEBdUUeir4QcCgDOg9xg</t>
  </si>
  <si>
    <t>https://chat.whatsapp.com/Itr0HHBK6I7Gwt1oJ7FyUy?mode=wwc</t>
  </si>
  <si>
    <t>https://chat.whatsapp.com/ELd5ipGU0HnGR2nsuZzCOw</t>
  </si>
  <si>
    <t>https://chat.whatsapp.com/EfbYI7XUWZA1KcK89zgygE?mode=ems_copy_t</t>
  </si>
  <si>
    <t>https://chat.whatsapp.com/CmYgB22aHsx7TOrqHiR5HA?fbclid=PAZXh0bgNhZW0CMTEAAadm_gN-wFWHK0orkvFgp03psOgl56Xs7kbag4yvx6pH-s8EpKxso7OCv0NTUg_aem_Df89t4P5X9intBoCSuNH0Q</t>
  </si>
  <si>
    <t>https://chat.whatsapp.com/DlJ8XtPlZ9i2oAJMo1EXnW?mode=ems_copy_t</t>
  </si>
  <si>
    <t>https://app.gruposinteligentes.com/r/vigiadeofertinhas</t>
  </si>
  <si>
    <t>https://chat.whatsapp.com/EexXms38M3O3yhSsIcmc6r</t>
  </si>
  <si>
    <t>https://chat.whatsapp.com/LCUCTJLImyO3KzBKfRVZoc</t>
  </si>
  <si>
    <t>https://www.whatsapp.com/channel/0029VanwKdI3AzNSZMVS4b2z?fbclid=PAZXh0bgNhZW0CMTEAAafRGT9holVSEijHNMYVX48jo14hucpYjJGE4WvXrK1ZdI17J6lXPh1WjCjlGA_aem_3xPAn8F-j_EcfexNrM8ZAg</t>
  </si>
  <si>
    <t>https://chat.whatsapp.com/HD3hBHCntvUCYL109WfhJH</t>
  </si>
  <si>
    <t>https://chat.whatsapp.com/BT7Z2GIyRfq100xBXrb7Dc?mode=ac_c&amp;fbclid=PAZXh0bgNhZW0CMTEAAacVKS0RTVh1vL68sXO9-Cc6cX16yY3coG9lClLRNoyDAjZdlSZYm4MDSUapMg_aem_77Lpb6bZ1EYK2OKlgnnYRA</t>
  </si>
  <si>
    <t>https://chat.whatsapp.com/Ij1adPFRDEgEnWBXtTbPAE</t>
  </si>
  <si>
    <t>https://api.whatsapp.com/send?phone=5583998873301&amp;text=</t>
  </si>
  <si>
    <t>https://chat.whatsapp.com/HdeizfsVqa09p5ffxHbCd2?fbclid=PAZXh0bgNhZW0CMTEAAaeL26lXQIxBZmLIkD3IT1DEJDKF321rxbusS5JGo-8UaQZ4ww5C_OccsS4kJg_aem_I8ujeNXgwIL7sxU-kq_67Q</t>
  </si>
  <si>
    <t>https://www.whatsapp.com/channel/0029Va4l5Wx545uoDl9sil27</t>
  </si>
  <si>
    <t>https://chat.whatsapp.com/GMlz11599YTLP3ui9VWgXn?mode=ac_c</t>
  </si>
  <si>
    <t>https://chat.whatsapp.com/LOK7ys7CuZKAiBBuon1drt?mode=wwt&amp;fbclid=PAZXh0bgNhZW0CMTEAAafuf3L3ZqWFJaFn2q6Cr0y8tauqiewpKn2Ew1LYql1orhhiog7KXYIzmzC6zg_aem_FR7-ZL8jX8YeWgbTAH9yRg</t>
  </si>
  <si>
    <t>https://chat.whatsapp.com/LKNq5b7IVGL0B89W4fKuLF?mode=ems_copy_t</t>
  </si>
  <si>
    <t>https://chat.whatsapp.com/IDhYoLEzlw1Bs9NocQQB4u</t>
  </si>
  <si>
    <t>https://chat.whatsapp.com/JAv9DaNWBSLA25LqoC9YI3?mode=wwt</t>
  </si>
  <si>
    <t>https://chat.whatsapp.com/D6eBFtbGbNW382vxea0zio</t>
  </si>
  <si>
    <t>https://chat.whatsapp.com/D0ihIeknxF8DivVxNdXMT8?fbclid=PAZXh0bgNhZW0CMTEAAaddYVsUtOAV-lCAIjFcrVGYDRd0ffv4U7ll06YiNQnpPYGAXvjY5JCejJeu5A_aem_JO83a-2tN29bAqGOOEqeeQ</t>
  </si>
  <si>
    <t>https://chat.whatsapp.com/Lvt6ezs2Fz6ItqKyCW6JE6?mode=ems_copy_c&amp;fbclid=PAZXh0bgNhZW0CMTEAAaecVIipIqzPHpM9TWnQt9z5lLbf8yw0MVN9vTjW7esIEjh9DNIm2Xb8mIN4kw_aem__bvkExuwYQzmobqnHbOmOA</t>
  </si>
  <si>
    <t>https://i.sendflow.pro/invite/GrupoDaGaaby?utm_id=1344207247310791_v2_s01_e1001&amp;fbclid=PAZXh0bgNhZW0CMTEAAadI0I5Xxqj2d3cC6QNpTKVu3GVOoWRpweL6ejiN9j8h_70LcVId0QaDQyabog_aem_OHbflDNFGlrp5Hutuk-rCQ</t>
  </si>
  <si>
    <t>https://chat.whatsapp.com/Ks3048s1gRjGzqfnbOmRKs</t>
  </si>
  <si>
    <t>https://chat.whatsapp.com/Bye3jMn7cOa7YkeymQIZIC?mode=wwt</t>
  </si>
  <si>
    <t>https://chat.whatsapp.com/GANhutgr55J95N65Xb6Lk3</t>
  </si>
  <si>
    <t>https://chat.whatsapp.com/D6vTMhtpTji4R4oJ1oBcB2</t>
  </si>
  <si>
    <t>https://chat.whatsapp.com/HlzrhZslJCZ6YVTSRDI71M?fbclid=PAZXh0bgNhZW0CMTEAAaeHCVvc7x51MYFXyqM5U8Vp142hYcrnX9m3TEYGypZ49CY9XKSMc1l0jIISvQ_aem_SWfxcvpL11OpZOE0WOljRg</t>
  </si>
  <si>
    <t>https://chat.whatsapp.com/DSeLEmy3Ccg2cQIQu0PZIg</t>
  </si>
  <si>
    <t>https://chat.whatsapp.com/JMfX31vfU1BBh6cf7R0Uqo</t>
  </si>
  <si>
    <t>https://chat.whatsapp.com/DFpRm2RkKfFGpYfqLxWcAo</t>
  </si>
  <si>
    <t>https://chat.whatsapp.com/FKCP03nC7DLKYr1sonRws9</t>
  </si>
  <si>
    <t>https://chat.whatsapp.com/FJpxwCaPLyO6VJjgSQPRRo?mode=ac_t</t>
  </si>
  <si>
    <t>http://chat.whatsapp.com/FuRrPRMeses2RqaTpBagwf
https://chat.whatsapp.com/LiJjq9uEt07Hf6EXIc4LQp</t>
  </si>
  <si>
    <t>https://t.me/promotom</t>
  </si>
  <si>
    <t>https://chat.whatsapp.com/Kda7wlfxzOj08vWSm42jip</t>
  </si>
  <si>
    <t>https://www.whatsapp.com/channel/0029VajMO5Y4Crfd9sUv321p</t>
  </si>
  <si>
    <t>https://www.whatsapp.com/channel/0029VaIymKi1HspyoimWMj1b</t>
  </si>
  <si>
    <t>https://chat.whatsapp.com/JQwNi3BDg6cK3R3qIGxL0n?mode=wwc</t>
  </si>
  <si>
    <t>https://www.whatsapp.com/channel/0029VaAWMTOLo4hfUT0CXV2t</t>
  </si>
  <si>
    <t>https://www.whatsapp.com/channel/0029Vb6EHc1KmCPTwxvrbT10</t>
  </si>
  <si>
    <t>https://chat.whatsapp.com/HWIR8cXLwCf4MelCkHpGz3</t>
  </si>
  <si>
    <t>https://chat.whatsapp.com/EjovDaMbPZQDVCaNhnU3WC?mode=ems_copy_t&amp;fbclid=PAZXh0bgNhZW0CMTEAAafQEZ1vNnvu6fQojNL2XbzG4MAa62PGgh6cms9Jv9F698cBT-71Na6LZINW_g_aem_wqFxjDTQoeWLoWKirRqGPg</t>
  </si>
  <si>
    <t>https://chat.whatsapp.com/HiAZjhqm6DQFLfIkcwhqru</t>
  </si>
  <si>
    <t>https://t.me/hardmoboficial?fbclid=PAZXh0bgNhZW0CMTEAAad91QlFMoxqd5UJjboP1N62cWtANiGM8E-vBGNaFAYTv22PVy_IgmIAYP2ncA_aem_dIDit8IE-_yP-KhZd8qrvw</t>
  </si>
  <si>
    <t>app.gruposinteligentes.com/r/achadosdaccarol</t>
  </si>
  <si>
    <t>https://chat.whatsapp.com/GUgEwbuk86aJDdyJfLsSQ3</t>
  </si>
  <si>
    <t>https://chat.whatsapp.com/BZpAuh2smnSBgAMWUIr8it</t>
  </si>
  <si>
    <t>https://chat.whatsapp.com/CMPA3hBbXmSBg7aEoHcdAc</t>
  </si>
  <si>
    <t>https://chat.whatsapp.com/JHaBQhjiioN4q54FVbHTv0</t>
  </si>
  <si>
    <t>https://t.me/outletblackfriday?fbclid=PAZXh0bgNhZW0CMTEAAac47Msicc8FXyO3GJEJp7W7OpkgNlER3DQHosVikFjue5nnEBRylCDqCn4shg_aem_6FHXolLGMvNQDjPKiROTIw</t>
  </si>
  <si>
    <t>https://t.me/economizanderson?fbclid=PAZXh0bgNhZW0CMTEAAaef6d27dw2ja87QTtQO_MnMQVpnvTWC5XNp7DI3yRcBqkCTEbNwFlDejv1mCg_aem_HUyi1kmKQpZ1Kp3U_gcqJQ</t>
  </si>
  <si>
    <t>https://chat.whatsapp.com/CCbeOEcw45ZIS7Du8dZchQ</t>
  </si>
  <si>
    <t>https://chat.whatsapp.com/K41Nfk48Mid9cAN7OA1V3K</t>
  </si>
  <si>
    <t>https://chat.whatsapp.com/Hi4wsoxm8oyDgk09a0zpEW?mode=wwc</t>
  </si>
  <si>
    <t>https://t.me/guigatudo?fbclid=PAZXh0bgNhZW0CMTEAAacBjHWdgbtIiHfb7eVYEP7x7VJoopp-_VAx_bvrD99Tkr_EbdNI1HnzpiKmUQ_aem_4ywXVHc8170ntvYwuqnUjA</t>
  </si>
  <si>
    <t>https://chat.whatsapp.com/Hjr3f7J3jCB5dxUy4DqPpl?mode=wwc</t>
  </si>
  <si>
    <t>https://chat.whatsapp.com/FBdHps1zuMO6gkstqu6jfT</t>
  </si>
  <si>
    <t>https://chat.whatsapp.com/K0Qvrw74bqdAi0FysJANr5?fbclid=PAZXh0bgNhZW0CMTEAAadTzPHs-UCqEfxaXrjSFbyF7rO5j1w9q5QyAPrpV7RX82CRIk4ea0BTNNbg4A_aem_shDqRg-bVPp7dQdv1KmijQ</t>
  </si>
  <si>
    <t>https://t.me/joinchat/SB5lcH6BMPsUdsBb</t>
  </si>
  <si>
    <t>https://www.whatsapp.com/channel/0029VaAjS53B4hdTFeuFFj21</t>
  </si>
  <si>
    <t>https://chat.whatsapp.com/HXoaeZGoCA1Bdp7Gs4VIkq</t>
  </si>
  <si>
    <t>https://chat.whatsapp.com/Fspc3uykwrOKs5wDwPvsSW</t>
  </si>
  <si>
    <t>https://t.me/ofertasdorocha
https://t.me/HardTecPromocoes</t>
  </si>
  <si>
    <t>https://chat.whatsapp.com/CFYwI669SIOF6h8Dspgdfw?fbclid=PAZXh0bgNhZW0CMTEAAadfHkgIVRpL2XfLlMCPSsptBT0_idL8AwH8awbrXh6fjwwatyZoAdC7k3Vpag_aem_mCKPwDK3zqKPDGYMblGQMg</t>
  </si>
  <si>
    <t>https://chat.whatsapp.com/I4uxOIVx0LvCPNpKYNbO5D?mode=wwt</t>
  </si>
  <si>
    <t>https://chat.whatsapp.com/DXBvkZJkQLdBQpxymvWKSG</t>
  </si>
  <si>
    <t>https://chat.whatsapp.com/FZrN7heaxV2An8cVqgxtkO?fbclid=PAZXh0bgNhZW0CMTEAAaflgn2gOCTXCcEHH4_tQL7lMMckMzhuM5FPOf14CAQR0eTGTYOd0Zta-OnVcA_aem_Hwdvk-eCNwmrFMGybRresw</t>
  </si>
  <si>
    <t>https://chat.whatsapp.com/JD7FxqCc7lC71BZ6PgsuTy</t>
  </si>
  <si>
    <r>
      <rPr>
        <sz val="9"/>
        <rFont val="Proxima Nova"/>
      </rPr>
      <t xml:space="preserve">geral: </t>
    </r>
    <r>
      <rPr>
        <u/>
        <sz val="9"/>
        <color rgb="FF1155CC"/>
        <rFont val="Proxima Nova"/>
      </rPr>
      <t xml:space="preserve">https://chat.whatsapp.com/KD3HqqR0Kz6EHM6tSuTrLx
</t>
    </r>
    <r>
      <rPr>
        <sz val="9"/>
        <rFont val="Proxima Nova"/>
      </rPr>
      <t xml:space="preserve">tecnologia: </t>
    </r>
    <r>
      <rPr>
        <u/>
        <sz val="9"/>
        <color rgb="FF1155CC"/>
        <rFont val="Proxima Nova"/>
      </rPr>
      <t xml:space="preserve">https://chat.whatsapp.com/EsUGVz7d3HE8VRSuxVeIf4
</t>
    </r>
    <r>
      <rPr>
        <sz val="9"/>
        <rFont val="Proxima Nova"/>
      </rPr>
      <t>F&amp;H: https://chat.whatsapp.com/LVjBT22V8ZQ8WAjejQItnK
Lifestyle: https://chat.whatsapp.com/Cg9WQ9seejyL0J09xDad30</t>
    </r>
  </si>
  <si>
    <t>https://chat.whatsapp.com/FWwlSLSUrFDBeoHSiEHFKs</t>
  </si>
  <si>
    <t>https://chat.whatsapp.com/BDO3Mirgc7xFReDJ9QxZ82</t>
  </si>
  <si>
    <t>https://chat.whatsapp.com/Db4BoPO9UqOKZkIx59xKiT?fbclid=PAZXh0bgNhZW0CMTEAAacXAsUaz1cyBlxuWLc9fZwsfkiJsenTyr88j5hFKyHok0eeIW6c3eZQU_g9zQ_aem_Dmy4nL0HwtdvuO4boZzsDQ</t>
  </si>
  <si>
    <t>https://t.me/marcustech</t>
  </si>
  <si>
    <t>https://chat.whatsapp.com/DiaQsENFguqJvobfT8ohim</t>
  </si>
  <si>
    <t>https://chat.whatsapp.com/FzoBRhQjSBR8qAaYXWbBWx</t>
  </si>
  <si>
    <t>https://www.whatsapp.com/channel/0029Va8zBgzChq6DXixWSk39</t>
  </si>
  <si>
    <t>https://t.me/unboxingnalata</t>
  </si>
  <si>
    <t>https://chat.whatsapp.com/ESRK7K8eTez9n4tsWi8Ca3?mode=wwc</t>
  </si>
  <si>
    <t>Beleza: https://chat.whatsapp.com/G02RqQeQqpnB0xWgdQFvWA?mode=wwt&amp;fbclid=PAZXh0bgNhZW0CMTEAAacSQHVJ7LbEUect-pcX_E_orowg_Itnw8INDDtNhQ62l21ftvsCB-Mti-QePA_aem_1kabZsyotTOB5r4VKJ9cyQ
H&amp;F: https://chat.whatsapp.com/JHaDGhmuVTZEMATgfbh2xB?mode=wwc&amp;fbclid=PAZXh0bgNhZW0CMTEAAadmS8xsa-VOPhmuXHaigTDrGvOHG4p6nCmA2Jy4GJAiVXoE8v1lPh4N5OkNgg_aem_29ZxK9qUXTg-cP8AGYuZAw</t>
  </si>
  <si>
    <t>https://chat.whatsapp.com/BphOj310T5a9h7yZ3I9a8l</t>
  </si>
  <si>
    <t>https://chat.whatsapp.com/CFPqGJMJy8J7Zrt1GCkhCF</t>
  </si>
  <si>
    <t>https://chat.whatsapp.com/J2sN803vT9cCnfPNtWYmhM</t>
  </si>
  <si>
    <t>https://chat.whatsapp.com/HEi2otzaI1E8NVJDxyFBNo?mode=ems_copy_t</t>
  </si>
  <si>
    <t>https://www.whatsapp.com/channel/0029Va7jECnCcW4tZ15e8v1v</t>
  </si>
  <si>
    <t>https://t.me/descontosep</t>
  </si>
  <si>
    <t>https://chat.whatsapp.com/GRFJfs23lgYBEmRSmbRyzl?mode=ems_copy_t</t>
  </si>
  <si>
    <t>https://chat.whatsapp.com/Ia4ivP80m2KE4cfu9BiMGy</t>
  </si>
  <si>
    <t>https://chat.whatsapp.com/EAhvy9yo6On2GYZIeZMJdP</t>
  </si>
  <si>
    <t>https://chat.whatsapp.com/IyJYqH1gXxAJ3IDAd6GBrf</t>
  </si>
  <si>
    <t>https://chat.whatsapp.com/GbdkHTyBqRm9zeMfi4sqfB</t>
  </si>
  <si>
    <t>https://www.whatsapp.com/channel/0029Va8GkBr5fM5iaPVX0c28</t>
  </si>
  <si>
    <t>https://chat.whatsapp.com/LGcaf2hLrGTA4xmoOKbScu?fbclid=PAZXh0bgNhZW0CMTEAAadKbAjrvtlt93Z1vU8QqLZ7y55BzKHdOZcK8M9InBjmI9234jyRwnhBOLysRg_aem_O91CVD30ELOHuxLipW0DSw</t>
  </si>
  <si>
    <t>https://chat.whatsapp.com/GlZbsfe4H0q7GdhETjruhL</t>
  </si>
  <si>
    <t>https://www.whatsapp.com/channel/0029Va9pNUS1dAwAOtvz6v1E?fbclid=PAZXh0bgNhZW0CMTEAAaf4FoshT4jcqI7J6cwucWECCPlf9FAWL2lHmz7blprEKGeI-sYqNSDkhcHu7A_aem_x2jC5XheKLZAvrnKeEPw0Q</t>
  </si>
  <si>
    <t>https://chat.whatsapp.com/HkZ6ShSsbeg1gQ2JBPo9Vs?fbclid=PAZXh0bgNhZW0CMTEAAaf9MTtDTajtcKqfeXh4kRc33Me85ugZLxZrmV-4w1mxRdti5aZXx3G9yQNOsw_aem_CjJmyhj6IpZRdi-wAtd8-g</t>
  </si>
  <si>
    <t>https://chat.whatsapp.com/LFxnhypmd5BDGFgneCPrkE</t>
  </si>
  <si>
    <t>https://chat.whatsapp.com/BJK04Bp8B0TBWJDs73DNxc</t>
  </si>
  <si>
    <t>https://chat.whatsapp.com/KXGSBZpRWnc5c66bbkNL1b</t>
  </si>
  <si>
    <t>https://chat.whatsapp.com/FPXOx5VQyej1vQozBLve0H?mode=r_c&amp;fbclid=PAZXh0bgNhZW0CMTEAAaerANDtOA9-09v80KsS86j8jZG3nr30IMesluunHwol1wDhWW7YHdPxWFH_sg_aem_YLvb9T5PjSTYQPFN52q8Vg</t>
  </si>
  <si>
    <t>https://chat.whatsapp.com/DxZvHGHttCaD6JyJDH909k?mode=wwt&amp;fbclid=PAZXh0bgNhZW0CMTEAAafDOQHHkx43U6V6yK1GZ0KWi3WAZMWWaw8rgPdMLzTBFFgHMY8JDIzKpHEVkw_aem_-wdaoGB2zHWQUF09AzvSgw</t>
  </si>
  <si>
    <t>https://www.whatsapp.com/channel/0029VavQ9i68aKvEJa01Si0s</t>
  </si>
  <si>
    <t>https://chat.whatsapp.com/Jtzve7J0p4iHcq4p9dSJnE?mode=ems_wa_t</t>
  </si>
  <si>
    <t>https://chat.whatsapp.com/FbKBDOYaZIWKupUmuw0nsQ</t>
  </si>
  <si>
    <t>https://chat.whatsapp.com/GotYoYy1r6zAJ8YYtk82qe?mode=ac_t&amp;fbclid=PAZXh0bgNhZW0CMTEAAadMWMagcqJdIYmZJSZ4R8GFjSVIPidZOKegyRWCrH6fm-LAmUjxYNzdfGsgNg_aem_6Rd6CcTSu1qnnloj1lOpOA</t>
  </si>
  <si>
    <t>https://chat.whatsapp.com/EzsDwzVMrKiHt0xXqPPoRJ</t>
  </si>
  <si>
    <t>https://chat.whatsapp.com/IMOcURMw4WtDUkLzbidJI8</t>
  </si>
  <si>
    <t>https://chat.whatsapp.com/Chcg5YTJDdRIgDNycwYBx0</t>
  </si>
  <si>
    <t>https://t.me/rotinadepromocoes</t>
  </si>
  <si>
    <t>https://chat.whatsapp.com/Lqua75hMObP5wXwKCyiq7o</t>
  </si>
  <si>
    <t>https://chat.whatsapp.com/FsvG2pXtqDX9QDfbWuaJUR?mode=wwt&amp;fbclid=PAZXh0bgNhZW0CMTEAAaf7m7PUmfqKEkv93xlrvg8Qsw37w3HubItTgUP9LpDrfjd_hXnwTFvrlVQ-5w_aem_zsY6aAKg8GxvUz_AobOnlQ</t>
  </si>
  <si>
    <t>https://chat.whatsapp.com/LrWXs2jt86p0cwA9m9SOGE?mode=wwc</t>
  </si>
  <si>
    <t>https://chat.whatsapp.com/Et7TUni8qau1CB1v63QDTk?fbclid=PAZXh0bgNhZW0CMTEAAadNvhRlmB0Y6OiUEV3lYuJX_wulJhRMArpIp0BKQYqXUqsoaIjN1Go0T5r30g_aem_SwNOONH9q2vj8cZIBGoWWQ</t>
  </si>
  <si>
    <t>https://www.whatsapp.com/channel/0029Vakbd7m3rZZiNBpvhU0y?fbclid=PAZXh0bgNhZW0CMTEAAadRoFB1lGAiKESfwQlUJ-m2t_FwLtzk8szwtEZ0J5GfO1O0VR1aebkj5ZyIEA_aem_9x5FgWZ-VHWgJMEkL7G7GA</t>
  </si>
  <si>
    <t>https://www.whatsapp.com/channel/0029VaLa5nXEQIagEO53jy2M</t>
  </si>
  <si>
    <t>https://chat.whatsapp.com/GcedDTYaqmWDRC2xsHRuS8</t>
  </si>
  <si>
    <t>https://chat.whatsapp.com/L1sC7x9NRND6v2T4IVXowY</t>
  </si>
  <si>
    <t>https://chat.whatsapp.com/KNKw7EZNadrK0rFxvYnO0u</t>
  </si>
  <si>
    <t>https://chat.whatsapp.com/3GnbahT2kj07ibWPPnar6t</t>
  </si>
  <si>
    <t>https://chat.whatsapp.com/D5Si0eBiQZj9DZaRSJDgrA</t>
  </si>
  <si>
    <t>https://chat.whatsapp.com/FhGAAsVS7LDIUWw6lvxzut?mode=wwt</t>
  </si>
  <si>
    <t>https://t.me/addlist/9LJT4-m2PfI4YjFh</t>
  </si>
  <si>
    <t>https://www.whatsapp.com/channel/0029Vb6pG2SLI8YRMFfFFT2e</t>
  </si>
  <si>
    <t>https://chat.whatsapp.com/H6Ifwzn9NNA7GYBGdgD1lt?mode=wwc&amp;fbclid=PAZXh0bgNhZW0CMTEAAae9DLAmGPQI5lKWR2Gr8mfsniySC52IWgxm8c1sxa5Kuoq1f_o1kg386B8P8g_aem_2KzAX6jZKtoRMwV3rhh3DQ</t>
  </si>
  <si>
    <t>https://chat.whatsapp.com/DCxjP81VSPYBL6Gxv9H52C</t>
  </si>
  <si>
    <t>https://chat.whatsapp.com/C66THFmOr0eLheskj0llLl</t>
  </si>
  <si>
    <t>https://chat.whatsapp.com/KUZStrTHW8n6ITKXFfcCeL</t>
  </si>
  <si>
    <t>https://chat.whatsapp.com/Ej9Le27nnVJFwMi7HsDgkt</t>
  </si>
  <si>
    <t>https://chat.whatsapp.com/KTmWGkMPgymIZSlUxvK2D3</t>
  </si>
  <si>
    <t>https://www.whatsapp.com/channel/0029Va6L9zc5kg75OpwQIB40</t>
  </si>
  <si>
    <t>https://chat.whatsapp.com/KWqUZWZVI6WENZyd4UPWvi</t>
  </si>
  <si>
    <t>https://t.me/+ANHblIhLcV9lYmYx</t>
  </si>
  <si>
    <t>https://chat.whatsapp.com/Kj9hC3NiBT77LkygW7nPiX</t>
  </si>
  <si>
    <t>https://chat.whatsapp.com/8cao38VPYLDBKLMqOPjoA0</t>
  </si>
  <si>
    <t>https://chat.whatsapp.com/D3gyYuH0Y0q82aNWRXdQ6i?fbclid=PAZXh0bgNhZW0CMTEAAafgUvBBwrIwwfWkvYGXtxUtr1emnN2cGgzICAHFmbInCGw7Xd9yjbRQicb7oQ_aem_62gMHOWgd9dyDnLQ1MWFaw</t>
  </si>
  <si>
    <t>https://www.whatsapp.com/channel/0029Vb6KTOB0LKZN2ee2co0y</t>
  </si>
  <si>
    <t>https://chat.whatsapp.com/IglXEIKL0X6Fco4ika2iz5</t>
  </si>
  <si>
    <t>https://chat.whatsapp.com/IiCMiBV6jR5HbYdFh1fAp1</t>
  </si>
  <si>
    <t>https://chat.whatsapp.com/BLEQ9LQyRqnHpZ2bVWmBeT</t>
  </si>
  <si>
    <t>https://chat.whatsapp.com/HBvVODelAE210I8mQbpZxF</t>
  </si>
  <si>
    <t>https://chat.whatsapp.com/KTzHdnCLZkzAFYgqWaSqFn?fbclid=PAZXh0bgNhZW0CMTEAAacYYtqHsmlP-VN5s_k_v0SXlW8v19O79nXlRjQb5QJICnPvjp-HYWL2PvQidA_aem_bhK-IKlLNpW0_SSFN6WpAw</t>
  </si>
  <si>
    <t>https://t.me/reviewscurtinhas</t>
  </si>
  <si>
    <t>https://chat.whatsapp.com/HQHx4Tr5C3M1kEKkgzsVxC?mode=ems_copy_t&amp;fbclid=PAZXh0bgNhZW0CMTEAAacpe4HfJwoTXcFCXXHX2GpWSyGNtz7YH_lLwX1zs25qmeILYdSeuMvHWRpRxQ_aem_hq1hMcGK9YB82zPFAupThw</t>
  </si>
  <si>
    <t>https://chat.whatsapp.com/CULdOiC69HgLZMt7baMbcH?mode=ems_copy_c&amp;fbclid=PAZXh0bgNhZW0CMTEAAacxy92KH0MDVbbXK8_XwuM9ZH7lsKHbF8mNAPYe94i0ST7U-GV0W816YdS-7Q_aem_C3zlgQY2op6bj9sNBwO9pw</t>
  </si>
  <si>
    <t>https://chat.whatsapp.com/3AojlMVOnTx5aanIu9xATd</t>
  </si>
  <si>
    <t>https://chat.whatsapp.com/FPAfltA8alqBFThYVQZV2o</t>
  </si>
  <si>
    <t>https://chat.whatsapp.com/KEXRU3sjoBu4782by95BnV?mode=ems_copy_t&amp;fbclid=PAZXh0bgNhZW0CMTEAAac-KlcpOQh3hzjdv1x4nvOUF-xFyzIQKhsGzt-QhX8wbDiVaJhAeVEAVQmIZg_aem_Zr6vR6U3XCD4umFwb3g24A</t>
  </si>
  <si>
    <t>https://chat.whatsapp.com/DmxglF40thWBUnTSAxgq9m?mode=ac_t</t>
  </si>
  <si>
    <t>https://www.whatsapp.com/channel/0029VaPgpJ2C1Fu2ofsCSu0f</t>
  </si>
  <si>
    <t>https://chat.whatsapp.com/LwFa8IEby72AHMw1mzXh4e?mode=wwt</t>
  </si>
  <si>
    <t>https://www.whatsapp.com/channel/0029Vao7Mp94CrfckfC8Z03Z?fbclid=PAZXh0bgNhZW0CMTEAAafqrbgD1HhtMtfrPXqE12otlUTYrXzOCOTd9AGMnzD5bzX2FIXotnABMRFqlA_aem_WrYV-v1N0kKCCJ0qYOYNyg</t>
  </si>
  <si>
    <t>https://chat.whatsapp.com/K6fDMEvCuIpCjwGRpMsxIV</t>
  </si>
  <si>
    <t>https://chat.whatsapp.com/HRKF83AP2LsI3SyVcByb8t?mode=wwc&amp;fbclid=PAZXh0bgNhZW0CMTEAAaeBf52vBJhb_3lOCokfBKX108CQiTDGlB0Wj7nLvsMGQJO9Fy3uqdAV_tyVUQ_aem_AqLOq9yfZf-6T3dDqQpfGg</t>
  </si>
  <si>
    <t>https://chat.whatsapp.com/CTjtI84fLp2Kio1vl9qPSQ</t>
  </si>
  <si>
    <t>https://chat.whatsapp.com/L4LNpfPZUqH05ouyae0Yri</t>
  </si>
  <si>
    <t>https://chat.whatsapp.com/Lf0hxVaeCxNDBvw2ydy6PV</t>
  </si>
  <si>
    <t>https://chat.whatsapp.com/BsIXB2PTOCvEhVMHZ42dem?mode=ac_t&amp;fbclid=PAZXh0bgNhZW0CMTEAAacYhnSjSfwOy2DiAeu_iqGww1AeliNigUWLJV91IfathCT-AO5Xrz67mmDNZw_aem_a1klxB5Fu30alRu2bFSHnQ</t>
  </si>
  <si>
    <t>https://chat.whatsapp.com/KLZdjjmDJarKOMcowCcajh</t>
  </si>
  <si>
    <t>https://chat.whatsapp.com/K4c5fmtzSXG1qKxnBs3fs2</t>
  </si>
  <si>
    <t>https://chat.whatsapp.com/El2R6H8UEU90utKzg0M9eB</t>
  </si>
  <si>
    <t>https://chat.whatsapp.com/LPpRGK4WvR81psNepIOaUu?mode=r_c&amp;fbclid=PAZXh0bgNhZW0CMTEAAaesKYh7TggEYAVosoKGdc9BIvw94GNAYwg7sRcKAbskAEbN9aRvidpeZL2DFQ_aem_dCP_062_l1exXQxFLlvDCw</t>
  </si>
  <si>
    <t>https://www.whatsapp.com/channel/0029Vb6utoYFXUuZXnzl5619</t>
  </si>
  <si>
    <t>https://www.whatsapp.com/channel/0029VanhKWjJUM2ZkrzNmD2o?fbclid=PAZXh0bgNhZW0CMTEAAafINMsRh0RSg6agGBRpJ-mLjGyQ6NZQTiTqtAq9rpgSRyaOgKj5RPF8KNa56g_aem_Zbp4KVgp38vv7jUpg2SNGg</t>
  </si>
  <si>
    <t>https://t.me/promonocontext</t>
  </si>
  <si>
    <t>https://chat.whatsapp.com/FOa4DMXBtaG4V8sW20W3rF?fbclid=PAZXh0bgNhZW0CMTEAAadYP5gD-wS1LVkZeqRcfilLz4BYoc7GWjqbixIeCLWRfEh8vpqeKnCf5HRKYw_aem_6WcsIijg5QgGi-vHwnPhOA</t>
  </si>
  <si>
    <t>https://chat.whatsapp.com/GXzxLoVvmxz0udKGWn1ENL</t>
  </si>
  <si>
    <t>https://chat.whatsapp.com/EY60g2bvKUQ3vTw7m8p51y</t>
  </si>
  <si>
    <t>https://chat.whatsapp.com/G8aLNHaHaOHAtAi6oBoEbx</t>
  </si>
  <si>
    <t>https://t.me/promocaozinha?utm_medium=social&amp;utm_source=linktree&amp;utm_campaign=canal+no+telegram+</t>
  </si>
  <si>
    <t>https://chat.whatsapp.com/LAbSIcCGmwx9PCTscLT39s</t>
  </si>
  <si>
    <t>https://chat.whatsapp.com/Ja8pGApMAuL5wQKhC2isyI?mode=wwt&amp;fbclid=PAZXh0bgNhZW0CMTEAAaf4zFg2e2kuAv3bbWCDbtj0FGOh4LHPp-ZieGis6-VfPYZzseeRy1rTXMP44w_aem_2CyEZQVSdL33KNgPj8KUsw</t>
  </si>
  <si>
    <t>https://chat.whatsapp.com/ED3SWc4c1ZT2oeACRALSiI?fbclid=PAZXh0bgNhZW0CMTEAAadYUujDSi-fDWl6u9ooOCnZFX8wkV_ZT9uZW8WyHrud-Tx_C2WBQxIefWv4yw_aem_CF9ezvNK1O2X6PKuhvj8oQ</t>
  </si>
  <si>
    <t>https://chat.whatsapp.com/FToNcyvr7uE9gOhvcLo8RV?mode=wwc</t>
  </si>
  <si>
    <t>https://chat.whatsapp.com/JEXULayLCWkIqh89sJX4Cj?mode=ems_copy_t&amp;fbclid=PAZXh0bgNhZW0CMTEAAadltqLlBBGH8ZOTU0aFrpTWiGOlKgxakToaDNYVS_OAqUeRgStOikHzM9dibg_aem_RBcpXOFzg8l2iejwp9rfMQ</t>
  </si>
  <si>
    <t>https://chat.whatsapp.com/BSrW73sUxmf7P0k94JjGJR</t>
  </si>
  <si>
    <t>https://chat.whatsapp.com/KsFIKs4bknu8bVy0xEQQq0</t>
  </si>
  <si>
    <t>https://chat.whatsapp.com/IztSV778zEV1Km200kyq3M?mode=ems_copy_t</t>
  </si>
  <si>
    <t>https://www.whatsapp.com/channel/0029VafAapsLikgF9NOsIC0w?fbclid=PAZXh0bgNhZW0CMTEAAaeRVDEDPORicafDtQDbw-3H1wz5rA2EGwGSSGR9xVN2RYOMDh_cO6KdLP9z-Q_aem_MjGKgG0GAwr96MTWxSKodQ</t>
  </si>
  <si>
    <t>https://chat.whatsapp.com/Evbu0eA6aGDGIustairn0X?mode=ems_copy_t</t>
  </si>
  <si>
    <t>https://chat.whatsapp.com/CLsmnQK13dGCCWOlIJ3kbg?mode=wwt&amp;fbclid=PAZXh0bgNhZW0CMTEAAad095Qfkva47rG3wxU6FQkkkdgLwun5GAhg884odIKNKIhxqVLs3E8R4A2lmg_aem_3rrWIjP6y3UxSnqW6WSz5w</t>
  </si>
  <si>
    <t>https://chat.whatsapp.com/LuID2lhm3nfKhD3BZtpUxx?fbclid=PAZXh0bgNhZW0CMTEAAad-mhpTvHCtOj7dPPuFQIK_PlwimZS3Z0FWwMKxUasxuSEhFXMJ_PUxjc0Ifg_aem_qFukJyAA5vQ5dt60B_Hx1A</t>
  </si>
  <si>
    <t>https://chat.whatsapp.com/LPyuTee5x46DumQfzur4BB</t>
  </si>
  <si>
    <t>https://chat.whatsapp.com/DQUSzXeoHmM8dnvqP9QBbT</t>
  </si>
  <si>
    <t>https://chat.whatsapp.com/EFKnGyxcmb43wn8JP4oK3k?utm_medium=social&amp;utm_source=heylink.me</t>
  </si>
  <si>
    <t>https://chat.whatsapp.com/GrIZPFtopk17fKB4ZufzKz?mode=wwt</t>
  </si>
  <si>
    <t>https://chat.whatsapp.com/HeLCNQtFxYMCY8nDpFrPfJ</t>
  </si>
  <si>
    <t>https://chat.whatsapp.com/I082dejhGUl6Hii1TUdzN2</t>
  </si>
  <si>
    <t>https://chat.whatsapp.com/CxuUhB4Rw2KC7MWHnm8cBo</t>
  </si>
  <si>
    <t>https://chat.whatsapp.com/ByQVh3GaWwmCdBF6hfDY8B?mode=wwc&amp;fbclid=PAZXh0bgNhZW0CMTEAAacaye7vT7DoZD_zxBnsKQlHEvJfpcdW8W0ev1Ql6wzEWZVYbQtPa6OkIuCyWQ_aem_ZkYshf_dOnd2JtvSs0Nk4Q</t>
  </si>
  <si>
    <t>https://chat.whatsapp.com/HBhNHpzpK6UH5Ocn99n1kW?fbclid=PAZXh0bgNhZW0CMTEAAacHHwy7lFR3bJC4RckCfexIMyW7UwLKFnKvp7zdbfp4kB6Jd1f1CHhIE1M70w_aem_uG_P-6HRoQrx1v9n38Wemg</t>
  </si>
  <si>
    <t>https://chat.whatsapp.com/CmXGTqAJ36ECTWdfZ8UCvw?mode=ems_copy_c</t>
  </si>
  <si>
    <t>https://chat.whatsapp.com/JR9FChkNN4m90N5qGyDFzV?fbclid=PAZXh0bgNhZW0CMTEAAaeVyFZGtGjGNb7E2ysOykp5YDrX2D9_0qvrh8ScCdjk50uBVkJgTie7G5JEPw_aem_KdvwTMiVpojhRSX4sOUqGg</t>
  </si>
  <si>
    <t>https://chat.whatsapp.com/J1D6HRAuIx62u62O3QWn8e</t>
  </si>
  <si>
    <t>https://chat.whatsapp.com/EUasLaQCNghLLTZeVohIb2</t>
  </si>
  <si>
    <t>https://chat.whatsapp.com/BQ7tcRk6loB7roRQgF9SVZ?mode=ems_copy_t&amp;fbclid=PAZXh0bgNhZW0CMTEAAafjiqu7Cv2zhN3eADBwm22E0zIENha0cIp63tUtukYmP-Y4TOQKT24WsQN94A_aem_5J7hytlCCJi1WJyGcIuO1w</t>
  </si>
  <si>
    <t>https://chat.whatsapp.com/K310kjNbwASEDJ91U8X5Bm?mode=wwc&amp;fbclid=PAZXh0bgNhZW0CMTEAAac9JFVgervJTQFvCkEms2VpM58SnT0hTf-NerD4rNAaFoOJPRWRMvQcqJ80oA_aem_mMQHuj-5Ov9z-FNmSOhd8A</t>
  </si>
  <si>
    <t>https://chat.whatsapp.com/IEX4hvJtnfX3YLHRy8gpbO</t>
  </si>
  <si>
    <t>https://chat.whatsapp.com/KWch5ygbtG9EDgotXCZ6w6?mode=wwt</t>
  </si>
  <si>
    <t>https://chat.whatsapp.com/E1ys64DdebhHIJyvES7FhP?mode=ems_copy_t&amp;fbclid=PAZXh0bgNhZW0CMTEAAaffFXq0hS4V6z8WcXIIrPPDum6Zp8jJHU9pypipbw04Y3VqYWnccqcXq6hSkA_aem_3uu-mmjHNH4dGz5qJ7eTXA</t>
  </si>
  <si>
    <t>https://chat.whatsapp.com/HHGjJ39EGjP1E3Xvcyo287</t>
  </si>
  <si>
    <t>https://chat.whatsapp.com/L2jFzuhDn6KFSJC9LcQcuU</t>
  </si>
  <si>
    <t>https://chat.whatsapp.com/Frx0bqhRtxb9gDELL5tS1T</t>
  </si>
  <si>
    <t>https://chat.whatsapp.com/KRlEAzC5E21JqQT9fzqru6?fbclid=PAZXh0bgNhZW0CMTEAAaeEeqceGq0Wl8M1WwCjrorcB40loFQ8_NsyhsxeR_kK5l2fh-rMFMBTOQ8H5Q_aem_Iog_0EKAELL9RBXjrkLWBQ</t>
  </si>
  <si>
    <t>https://chat.whatsapp.com/Bilt1HIkKufE4zmWKdAh0m</t>
  </si>
  <si>
    <t>https://chat.whatsapp.com/IiRsOuBEKu20Ad55TK6oQo</t>
  </si>
  <si>
    <t>https://chat.whatsapp.com/JmwHWGGtLLh87hKuYFh1tE</t>
  </si>
  <si>
    <t>https://chat.whatsapp.com/CbIau6c3CA7C0LMxobWHXA</t>
  </si>
  <si>
    <t>https://t.me/sdofertas</t>
  </si>
  <si>
    <t>https://chat.whatsapp.com/HZyuiMiv4uQ2FO3LsGhUGJ</t>
  </si>
  <si>
    <t>https://chat.whatsapp.com/FSOKIotzhXeESsvKFAQCiA?fbclid=PAZXh0bgNhZW0CMTEAAafayNv6Q98oLq7T7mckPOe-0ZXby3578rGZkDd_GWtsZmFwr6mrfc-eu6xVbg_aem_pt7Uh-JpGkO4n57nLXvcfQ</t>
  </si>
  <si>
    <t>https://chat.whatsapp.com/LikseXVR6JA8NmMJ7eB5gc</t>
  </si>
  <si>
    <t>https://chat.whatsapp.com/FlP2dqy76C3HDxui5Q4zr9?fbclid=PAZXh0bgNhZW0CMTEAAaceyofGitqyXJs8knpO6XaciB8y5-fwjRIIHqdx_zAlKPn2c5Ac5UhfCPHZuQ_aem_pHPIiGS1YumNyYKZt3WBJw</t>
  </si>
  <si>
    <t>https://chat.whatsapp.com/FDmaefqLyH36zb6NAdZNz8</t>
  </si>
  <si>
    <t>https://chat.whatsapp.com/LLg4yElJWJB1oW5S6dU84l?mode=wwc&amp;fbclid=PAZXh0bgNhZW0CMTEAAaeFe1q7BZHrcru9DCDJEcXMbay0g36UeJzbRySYgqropyztU-GUNSZSe7w_Uw_aem_IgnsdQI5kA6JcKQmfYTEuA</t>
  </si>
  <si>
    <t>https://chat.whatsapp.com/L0q0tJF65svDjwMH33RBZo</t>
  </si>
  <si>
    <t>https://chat.whatsapp.com/Lj3fllktYP38P1UCKvKIgn?fbclid=PAZXh0bgNhZW0CMTEAAadbdWjxjuoLALegow5kAk7G544y-7XDP5UzPjGQx7153TkYL1-iMsNR9vJalQ_aem_aXz7BbfxdVcfDiXgVAxAhA</t>
  </si>
  <si>
    <t>https://chat.whatsapp.com/B7uIXxna6lhJNEGNYLoiXb</t>
  </si>
  <si>
    <t>https://chat.whatsapp.com/G8aOJ9GsgtgK0FHC9PHWOJ?fbclid=PAZXh0bgNhZW0CMTEAAacI4MN8e_BfLrOomUzfDK29iJ6dd_Ab-Nm7XKbX0ev2Y9thCvVPf8gTkluGHQ_aem_lNWiofynB7OUCWcClguV-g</t>
  </si>
  <si>
    <t>https://chat.whatsapp.com/CeOajup9Rsh26ROElCeer0?fbclid=PAZXh0bgNhZW0CMTEAAaenBo5VqOk-Xh8h7d4AvpzHnMFd2BqFjMcPFEkfxtx4C7ctQ9PUaNKOEKRw9Q_aem_3fJQuohk15fPVEHuNjBTSA</t>
  </si>
  <si>
    <t>https://chat.whatsapp.com/JT8aIzL4HNQD8N9899WpqW?mode=r_t&amp;fbclid=PAZXh0bgNhZW0CMTEAAad5mCbSUZl3HYU_5cwgqwQdZn16ow_DUCQYkMnZ8dZVm0KcFVI54OOvTSsLeA_aem_jsGqLssFi0ptvXBVFCejCw</t>
  </si>
  <si>
    <t>MElIpro</t>
  </si>
  <si>
    <t>https://chat.whatsapp.com/LTFq7RG0e08DH6c9i3TRuE?fbclid=PAZXh0bgNhZW0CMTEAAadVZH3NZpNyCeTJjE-Ahu_Y2-J2wfu_DZqgooKNlycsqYq1qX6en-bnuPOYYA_aem_DiFbo8Zr1ditiDbTeo6-sw</t>
  </si>
  <si>
    <t>https://chat.whatsapp.com/GnRAjCdII8D9ySCr2UMUBQ</t>
  </si>
  <si>
    <t>https://chat.whatsapp.com/Kj0kGQjHgu534xo3LPnCXd</t>
  </si>
  <si>
    <t>https://chat.whatsapp.com/ClLaq2pbQHV8N3RmjEIad2?fbclid=PAZXh0bgNhZW0CMTEAAadpRONGlxZ9CtaA89_ApWBqdHUnj1vq7YJ4dNW5XQ88aTpPKN0RmaXpUxN4Lg_aem_ztXXPKUpzfpSOmoxdOw8KQ</t>
  </si>
  <si>
    <t>https://chat.whatsapp.com/H9dxNyPzbWSLGTqbp2ov2A</t>
  </si>
  <si>
    <t>https://tr.ee/zHxv780O0c</t>
  </si>
  <si>
    <t>https://t.me/puranostalgiashopee?fbclid=PAZXh0bgNhZW0CMTEAAacHsDRA407f-3YbwbdXQ515qdVDc_a9HhRaZMxjkAO5HJSYC71mMeZvUe119w_aem_eb7-lRjFuTmMF-EyXuTQHQ</t>
  </si>
  <si>
    <t>https://chat.whatsapp.com/BehJuWtRQk30H2wXFFd9HU</t>
  </si>
  <si>
    <t>https://chat.whatsapp.com/DaLYRjgWYRIKypTbQT0FVS?fbclid=PAZXh0bgNhZW0CMTEAAaf6ydk2xafcnYx5kWspQGGWQoW8udj1rh-hHHu0_UN26bKYazlt_oCrJNW1Rw_aem_POcZlhZOz76KfcKi8PHglw</t>
  </si>
  <si>
    <t>https://chat.whatsapp.com/FpIsHgK4X6jAIPtb6K9Ifl?mode=ac_t</t>
  </si>
  <si>
    <t>https://chat.whatsapp.com/D5OdEreGcV30WhGShSqJOW?fbclid=PAZXh0bgNhZW0CMTEAAacvaAj8yuh04D4lQAsSHAfsASl4Ftm0Sq04E_yq-zodh1MxGjtDS8zfsEDFsg_aem_1kmj9nkK5CiJZ9i8_E27cw</t>
  </si>
  <si>
    <t>https://chat.whatsapp.com/K6DAzAvNur4IabDyHeb2Y3?mode=ems_copy_t&amp;fbclid=PAZXh0bgNhZW0CMTEAAacToXVWdlXegf-9uNBLuKK3RyUvY57YE47UVMht5jf6djL4-hogWGMtjeF_uQ_aem_6YlLmsP4JR_GGkadUzr48w</t>
  </si>
  <si>
    <t>https://chat.whatsapp.com/GcFEsEGhAywB0Bp1wtpfrH</t>
  </si>
  <si>
    <t>https://chat.whatsapp.com/HUIQoCtX7af4mhEE7bEIhw</t>
  </si>
  <si>
    <t>https://chat.whatsapp.com/C98f1fCpVK2B3QLwXYwACQ</t>
  </si>
  <si>
    <t>https://chat.whatsapp.com/BgdoWxdm0RWKZVQDrhVTk8</t>
  </si>
  <si>
    <t>https://chat.whatsapp.com/FQSjEe3qC804trDpyaG05h</t>
  </si>
  <si>
    <t>https://chat.whatsapp.com/HByXpAYMbzP8TkQrfp5PTS?fbclid=PAZXh0bgNhZW0CMTEAAaf04i_YzjO1AXgzF_Qa8GvlhsJmzQnpKooeQ9LyacXUSWELmkTXefzdWomwHQ_aem_rYZWDI3F3TPOl6lHF36T0A</t>
  </si>
  <si>
    <t>https://chat.whatsapp.com/FOVbpxIVd8bIgcQIwfSXJy</t>
  </si>
  <si>
    <t>https://chat.whatsapp.com/CMVGchoOo6M2zQvyEOVDTB</t>
  </si>
  <si>
    <t>https://chat.whatsapp.com/JwliHvFksEiDSmhElwqP5W?fbclid=PAZXh0bgNhZW0CMTEAAafS_pd94XLQMEqz1A-RtP2JHpVCsiAe58gZM7z73GqqhSYGlyLf1HYdDqoPBg_aem_SpS-jbVCzvnaKimUggqPbg</t>
  </si>
  <si>
    <t>https://chat.whatsapp.com/CkBNImXVV4iFqvvYV7K0q7</t>
  </si>
  <si>
    <t>https://chat.whatsapp.com/KUt7ZbJHpzrLYmx5466J0b</t>
  </si>
  <si>
    <t>https://chat.whatsapp.com/FEP0VTDFUr87bIxhQHMzUn?fbclid=PAZXh0bgNhZW0CMTEAAaf7bYAwNViwC3TG62hMaTrB9y2K6GGA7DcP6dRjB9txO2GXdWFe_9CCuYVhyQ_aem_GFG7lQrmjTNltt9FTynGeQ</t>
  </si>
  <si>
    <t>https://www.whatsapp.com/channel/0029VaxisiOHrDZePvFoqk16</t>
  </si>
  <si>
    <t>https://chat.whatsapp.com/IHoI86Hr37ZLLJDccekBPy?lt_utm_source=lt_admin_share_link</t>
  </si>
  <si>
    <t>https://chat.whatsapp.com/HzhyWCR4nNYGtuJaKaPgCJ?mode=ems_copy_t&amp;fbclid=PAZXh0bgNhZW0CMTEAAac6aaoR_1jW34QAY5WwplFioqheYLC4i48w6ayHIR94BJZNFqpzjNRejox_oQ_aem_nwxXwRt3AJcmrnDXi5j8QA</t>
  </si>
  <si>
    <t>https://chat.whatsapp.com/D87xKk8Kqgk0bMxSpKtcCB?fbclid=PAZXh0bgNhZW0CMTEAAafCgsBXCvw3_uuunm_oQftQs2WvBpncw_FOhdrkauYSbewZhRnN42ZUNG2nAQ_aem_QJwoi610E0r9FVqY4GOVAw</t>
  </si>
  <si>
    <t>https://chat.whatsapp.com/Eof5Zg0DLAsGzmdwnAYjfQ</t>
  </si>
  <si>
    <t>https://chat.whatsapp.com/K9xfwQ5iRbkKtQQYXUznbx?fbclid=PAZXh0bgNhZW0CMTEAAafd8oyvEyXDe-rOVaYX6mOKcQjIu7U7qqrZr3weZFOO7EHNNI1BvcifVDpPhg_aem_DDqgXG5t9V0WMi44-KkWLQ</t>
  </si>
  <si>
    <t>https://chat.whatsapp.com/FlfVPkFf2uAFzudRwd7gAf</t>
  </si>
  <si>
    <t>https://chat.whatsapp.com/LTDLmVuZQio5EqHddhRasL?mode=wwc</t>
  </si>
  <si>
    <t>https://chat.whatsapp.com/DgKPbjSmzlw1Q3nd7MOgj7</t>
  </si>
  <si>
    <t>https://chat.whatsapp.com/JPHe7LUEuKzBKZODcnOdRU?mode=ems_copy_t&amp;fbclid=PAZXh0bgNhZW0CMTEAAae7z7JGoOFdjCMf3pnONTCvhU5v9YZ-W0iFeCBz2G3BgYD42V-QlQO7599BiQ_aem_RTPIL0BXvZG0DekFj8doJw</t>
  </si>
  <si>
    <t>https://chat.whatsapp.com/CNUJFGp40uI8UMnW41jx2I?fbclid=PAZXh0bgNhZW0CMTEAAacpIbQU7l8eOOVkXfWVpOYppEFhERBrYsm3DvDuOpD5mjKhI4Ft8zkB3W6wCQ_aem_7dOthWdEVjIRxuio4z56yg</t>
  </si>
  <si>
    <t>https://chat.whatsapp.com/K819n7RgG3C0HSQKE4lh7N?mode=ac_t</t>
  </si>
  <si>
    <t>https://chat.whatsapp.com/LS4ZZQNWUUVA81RB6MeNmA</t>
  </si>
  <si>
    <t>https://chat.whatsapp.com/HmCxSREHfCYFUTP8DgvhRm?fbclid=PAZXh0bgNhZW0CMTEAAafLf-ytoVUnu0lQVs8IIN0wbinVIpYhyzrOm6aV47r9w5FvFgzcgJ5j3GGpLg_aem_qzPjEqnjugsIKvRzbe1poQ</t>
  </si>
  <si>
    <t>https://chat.whatsapp.com/Gdhl7a0ECOzEX9nD0MlYZs?mode=r_t</t>
  </si>
  <si>
    <t>https://chat.whatsapp.com/CFXGKZ7hQ8N65WmG6W1lje?fbclid=PAZXh0bgNhZW0CMTEAAadfOK-hb31L9LLKoIDDDVEmY5YTfJF929lB4Z91Nz53L40nZ9EiowwC6mvOVA_aem_VBb80IbCwQmsZ-XgKnA_CA</t>
  </si>
  <si>
    <t>https://chat.whatsapp.com/DQn0EzyBE9n8BMESLnS16C?fbclid=PAZXh0bgNhZW0CMTEAAae6uKJlgFm51ylYqAXvseH0DYJ4inrkZpUKPmd6l66MPGhj1phTS5LTMEVgjw_aem_xL8We9JutY_z9vaPO6X4pQ</t>
  </si>
  <si>
    <t>https://chat.whatsapp.com/FdJv2P0HUQLGUXxtpngfea</t>
  </si>
  <si>
    <t>https://chat.whatsapp.com/GqLIXCLfOgw1wsrZ7CJQhw?fbclid=PAZXh0bgNhZW0CMTEAAae7iR7WCqgDyzvxi9zu_QJLLmlI-zcKTwLMiqhGEpNMj-dROdfeZIzyXHhjpw_aem_nuq1aluOvROpTpneZu8e9Q</t>
  </si>
  <si>
    <t>https://chat.whatsapp.com/H6A72Otw8H0BPrlTfys8II</t>
  </si>
  <si>
    <t>https://chat.whatsapp.com/LBltd96f3U06b6YeoROqJc</t>
  </si>
  <si>
    <t>https://chat.whatsapp.com/IB8jrJpNDzdGKokUhYr9NF?fbclid=PAZXh0bgNhZW0CMTEAAaf0dTN2l7Kvh5iq_Z203dA5XL8xJCnzBzlZQE0cby7syK6Hr7ciuwygIO3M5Q_aem_V-M42kZfkKqBlRLH6yTBIw</t>
  </si>
  <si>
    <t>https://api.whatsapp.com/send/?phone=5511946339233&amp;text&amp;type=phone_number&amp;app_absent=0</t>
  </si>
  <si>
    <t>https://chat.whatsapp.com/GKPhNDHD5DMD5VehQmQxxf</t>
  </si>
  <si>
    <t>https://chat.whatsapp.com/HeJj2WYIZzuIuXVaVilqRk</t>
  </si>
  <si>
    <t>https://chat.whatsapp.com/BwyasSWoGlE3037b6iL50B?fbclid=PAZXh0bgNhZW0CMTEAAafdLQOEZckrYM4LdjbUtiHw6R8SACDYq5RfbNHHcb8jeBTZIViE1ZA2moX3eA_aem_3zvWNyZpM9siEYg4HyUK6g</t>
  </si>
  <si>
    <t>https://chat.whatsapp.com/LJFpLm3sYXk2rQo3xyicaW</t>
  </si>
  <si>
    <t>https://chat.whatsapp.com/C01isq9mnR221IfcANxzjs</t>
  </si>
  <si>
    <t>https://chat.whatsapp.com/Lb2QR1yZDzG6rQMbFnafuf?fbclid=PAZXh0bgNhZW0CMTEAAacXELHa_JcuOK8ZTekeXQpMHetuO-Tg5zzzRTZMSWQRrIi2pCgWTxnfzZ5_kg_aem_oEOz5xo5XB3v3Ho_1jiWyg</t>
  </si>
  <si>
    <t>https://t.me/pxinxando</t>
  </si>
  <si>
    <t>https://chat.whatsapp.com/Jyv4N0Jc1ILLkveNMpZ81i</t>
  </si>
  <si>
    <t>https://chat.whatsapp.com/FhPGelmE7MtBcyypvWBElL</t>
  </si>
  <si>
    <t>https://chat.whatsapp.com/JJc73JmdCbXKIoj6WrjfwP?fbclid=PAZXh0bgNhZW0CMTEAAaeBGoRrrMnU2OoonBd_2dGoN0GbJhEbwzb5oSjjqtroYoGqS88FcWf4yuYGJw_aem_ivOuZ4DqKCqC_OZrst2-RA</t>
  </si>
  <si>
    <t>https://t.me/techcellpromo?fbclid=PAZXh0bgNhZW0CMTEAAad4suBxHdqod4eueJgOMVnJXk3Ul41SOFLfdARyEchOrPozFlLvLDTNisDhDw_aem_mQtqS_4hi3tl217Ph3mKvw</t>
  </si>
  <si>
    <t>https://chat.whatsapp.com/LCQhtszftoPKeLJBtgc363?fbclid=PAZXh0bgNhZW0CMTEAAadgwAmqiZr2wGoSL7doa6wcTtHPlcHEJFDWIRbqx20jHI7VQg5B4thEXhL2Qw_aem_k1LF_AIe_LEFw0YeFOHsUg</t>
  </si>
  <si>
    <t>https://i.sendflow.pro/invite/pAtaG706VFv2j2gIIMuO</t>
  </si>
  <si>
    <t>https://chat.whatsapp.com/HE0qDdyC4woF3ZDPTQ6fQd?fbclid=PAZXh0bgNhZW0CMTEAAadH4Ahx_sAi7erue56Wv4WojpNl2PsA5JXRRyWNH99SwHXzfnLl2gm4sGuyHA_aem_6EUJ1nULHcvem9oNRbiiVA</t>
  </si>
  <si>
    <t>https://chat.whatsapp.com/Gz4jmOCoP7FIKn3LrDvMzd</t>
  </si>
  <si>
    <t>https://chat.whatsapp.com/F7NJkwakRiNHYCvqm99YP7</t>
  </si>
  <si>
    <t>https://www.whatsapp.com/channel/0029Vb62JAnI1rclRh8Fp930</t>
  </si>
  <si>
    <t>https://chat.whatsapp.com/JY4qQRWdVEVCSDRNHSxYTH?fbclid=PAZXh0bgNhZW0CMTEAAaeg0l0X6hlocE3UMuo-a6EOZtou2YASbTbuihkhELjQZDvNAchpyvbbuZ95Uw_aem_7Guu2J9CoNct-achcfUZmQ</t>
  </si>
  <si>
    <t>https://chat.whatsapp.com/H0tkGH3KzjGAG7zsR42QxZ?utm_medium=social&amp;utm_source=linktree&amp;utm_campaign=entrar+no+grupo+do+whatsapp+</t>
  </si>
  <si>
    <t>https://chat.whatsapp.com/Gu55Qpt3baS0ETcRirO33M</t>
  </si>
  <si>
    <t>https://www.whatsapp.com/channel/0029VafETHjHLHQPMhDXoU1U</t>
  </si>
  <si>
    <t>https://chat.whatsapp.com/Kgw6HiTuPAeDDfIsotIrln</t>
  </si>
  <si>
    <t>https://chat.whatsapp.com/CwWuRmKxOXfJSidEqrrisv?fbclid=PAZXh0bgNhZW0CMTEAAadBvZ13lJ5w8OXUV2iNHHuLunGzi48P0n0uW43YWkQCmp8Y97b4Vi9DFfoh3g_aem_LaujT_DV5KYuQuRloVcimA</t>
  </si>
  <si>
    <t>https://chat.whatsapp.com/DZd3F34NqlOBrOG22YiB1F?fbclid=PAZXh0bgNhZW0CMTEAAafCeMVDTlArPVKftbd_AnpIUkNDuLR1FhiB1E7st3b4QF0D2wZktyNtJT_XxA_aem_XFKounzmmzUJR56ZH9ztbg</t>
  </si>
  <si>
    <t>https://www.whatsapp.com/channel/0029VbB6mjdGJP8NfREt291s?fbclid=PAZXh0bgNhZW0CMTEAAacUrIUAu80gM-L8IdPImGEN2xiNxF4tMLxdbvRw1e4cHVc_Q6Tgj--LQvCf4w_aem_ro_CqntEy4TIzns9BUHkXg</t>
  </si>
  <si>
    <t>https://api.whatsapp.com/send/?phone=5511963772117&amp;text=Ol%C3%A1%2C+vi+o+perfil+da+Carol+Guimar%C3%A3es+e+gostaria+de+fazer+um+or%C3%A7amento&amp;type=phone_number&amp;app_absent=0</t>
  </si>
  <si>
    <t>https://chat.whatsapp.com/Fh1KMrzW3L6H0bMLUPiMoz?fbclid=PAZXh0bgNhZW0CMTEAAaeM_hOvUnbzqQsFhi704IfE42G0pp1x5_ISBoEDo3zv8vW36hwINLG1Vjtt6g_aem_pmldZJtJxwGouUknIWQ4tA</t>
  </si>
  <si>
    <t>https://chat.whatsapp.com/IWD8VXHZYI5LBk2e0PCHVX</t>
  </si>
  <si>
    <t>https://chat.whatsapp.com/BMtVLpzwqXlKad8difZMg0?fbclid=PAZXh0bgNhZW0CMTEAAadMV0WQaOZ5BmX0tTP07aWC6l6JMV9_Vf1esEH_tjLG2TxvVhCj1DykRUveDQ_aem_9dZ_95LCWEfkAUq-9_Tnsg</t>
  </si>
  <si>
    <t>https://chat.whatsapp.com/K7Kd6lds1Rz376wzK9jf53?mode=ems_copy_c</t>
  </si>
  <si>
    <t>https://chat.whatsapp.com/Bi4UwlDiO8t3uJBSE0279g?fbclid=PAZXh0bgNhZW0CMTEAAacsc6fMG8WRunpTCNgWyWSamgUrs2fSN-RAtaX5NYiyIaBhM7SpMurMnp7TVw_aem_juOLxDM8ZswiGznfgKMOKw</t>
  </si>
  <si>
    <t>https://chat.whatsapp.com/HE7ySd9hJor8ZYJtLiA104?fbclid=PAZXh0bgNhZW0CMTEAAadZe8KlYgPiMl6-KdF1LE0HJNOFwYlwi19x8Rted5ocz6mOsh9uiA5jr4B1nw_aem_acn4xZ5b9f8TmJtyrOgcwg</t>
  </si>
  <si>
    <t>https://chat.whatsapp.com/DK2ip7TlaZ882CBoBXCY7T?mode=ac_t&amp;fbclid=PAZXh0bgNhZW0CMTEAAafCpU_oG-oc3tzqnWo4hBMChmGxaTEcDcLfCCYRHBUGIp4DmLMfBRrB89e10A_aem_d85notCe5Rz_8uMBIP21Zw</t>
  </si>
  <si>
    <t>https://chat.whatsapp.com/FStwKecXsnR4qIlu1U1SeO?fbclid=PAZXh0bgNhZW0CMTEAAac9GzFPGsn83mk25M9YlmVWZNO1xtCllAfzEbwlEq-2_sGfzw-a8h2x-Fq9Qw_aem_goHhO5Y6INiqHkjtKnAtEQ</t>
  </si>
  <si>
    <t>https://chat.whatsapp.com/FA0XF4KyDYUCuJWAHgIGZf</t>
  </si>
  <si>
    <t>https://www.whatsapp.com/channel/0029VauwFzgBKfi7XHSLkI3o?fbclid=PAZXh0bgNhZW0CMTEAAacPreemZACXTYUdqW4Gs6B0cdAE9dvoBUsrbPj6ml3_qlcjJua5B_FaSJxKfw_aem_IHixWPhol-e6sqFStCeZCg</t>
  </si>
  <si>
    <t>https://chat.whatsapp.com/H4dDwIxvVQuK2YHYLFeZbJ?mode=ems_copy_t&amp;fbclid=PAZXh0bgNhZW0CMTEAAadsx9ZNoZsn-jt3ACSaV09lr4X6fkh7rn-tfqcdtcCogrGoY8veKwCxryhb-w_aem_CoNtpuss1AfiiJ3C7BHNWA</t>
  </si>
  <si>
    <t>https://chat.whatsapp.com/I3ccW9jKW7F8Wjf4erKWWV?fbclid=PAZXh0bgNhZW0CMTEAAafeSdsthS9AWb-CqVptkEwzE8cm9yWrS-vqWzcAxp4o744lwwaWsGobkxnEbw_aem_PI3S6Yuym3aRiqkf1HhBsw</t>
  </si>
  <si>
    <t>https://chat.whatsapp.com/DKl1AhprFx3AEkkiP854py?fbclid=PAZXh0bgNhZW0CMTEAAae-XUcAHpnUp5EOodk_tioetc7CT1ZUyJPlq3j7EGtF8suRYRsHULuaZyIUeA_aem_htRhTGn7imbWlC91dBJi-A</t>
  </si>
  <si>
    <t>https://chat.whatsapp.com/Di2M5HFd6uj7eh7q8CXj96?mode=ems_copy_c&amp;fbclid=PAZXh0bgNhZW0CMTEAAaeIr_zn_ycwWsN_KzAqnV8wg00ZS4LJi5SmSiVNnL8Cg-q_ea50Z5kcQMxWuA_aem_kXHVRyDHFfo1hPer1vpiHw</t>
  </si>
  <si>
    <t>https://chat.whatsapp.com/HWQuXCvBxu45Amt7cWAML0?mode=r_t&amp;fbclid=PAZXh0bgNhZW0CMTEAAadNonw1VrmnQLHBfvZWvByuRzC-BTbvqDYnQmvbkKWIUioLX1ao4Oy4dfKfVQ_aem_uX1ELtCV3PzFtLSCzDocZg</t>
  </si>
  <si>
    <t>https://chat.whatsapp.com/F5owyoPYzL1HzUSlfMjtml</t>
  </si>
  <si>
    <t>https://chat.whatsapp.com/I0v0WwVeEGe3kq7HlMmM70</t>
  </si>
  <si>
    <t>https://chat.whatsapp.com/EYtuTeh2suiBZNyMflPNcr?mode=ac_t&amp;fbclid=PAZXh0bgNhZW0CMTEAAaeBsA6ANd5K70rKtuDD_YzuGbz520CjVPh04V_aoU1uNlZl1EIExg0ODV1pjg_aem_KGAxKfaUbpHJQt8CUGqHXg</t>
  </si>
  <si>
    <t>https://chat.whatsapp.com/EbaIS6f8kaKGtHoN8cerq0?fbclid=PAZXh0bgNhZW0CMTEAAafAaORm4GvrSFwuOhITojs1zcxrKqz7Vl_hIM94MC2ivZAOHKe-n75Pj2JgSQ_aem_x3RReMsT-4o5V0OL85ZRww</t>
  </si>
  <si>
    <t>https://chat.whatsapp.com/F9GyGsPoOV6IwaSgnwmnCQ</t>
  </si>
  <si>
    <t>https://chat.whatsapp.com/JRsewVssOZsKY1OvdyAf3s (trabalho apenas com grupos)</t>
  </si>
  <si>
    <t>https://chat.whatsapp.com/JOOJgwST7fPH2JvVUNGXEt</t>
  </si>
  <si>
    <r>
      <rPr>
        <u/>
        <sz val="9"/>
        <color rgb="FF1155CC"/>
        <rFont val="Proxima Nova"/>
      </rPr>
      <t>https://nlink.at/promosdagisa</t>
    </r>
    <r>
      <rPr>
        <sz val="9"/>
        <rFont val="Proxima Nova"/>
      </rPr>
      <t xml:space="preserve"> </t>
    </r>
  </si>
  <si>
    <t>https://chat.whatsapp.com/EwSp5TKoMts50ZkgHfnZGj?mode=ems_copy_t&amp;fbclid=PAZXh0bgNhZW0CMTEAAacEFFSNpDVTmomu2ufBvn7McSQDHriXmxWriZq6e1GBo0bJC6DdIbUVf_zNtQ_aem__s8a4QccAJk0iMopfsiI2A</t>
  </si>
  <si>
    <t>https://chat.whatsapp.com/I4WBDJeYvAz4O7tBaMYtNB?fbclid=PAZXh0bgNhZW0CMTEAAacIakO5V5FYPUbXNKl0737bp-ygZv9BrBwh_SusZVbgYk5RhZdhpz886yA4nA_aem_vULOI5bZXemoB6QWM3m-6Q</t>
  </si>
  <si>
    <t>https://chat.whatsapp.com/EGDd0zrJRdQ1ECKBbuMH1k</t>
  </si>
  <si>
    <t>https://chat.whatsapp.com/HPx22Avdn9T60z73dAHQS4?mode=ems_copy_c&amp;fbclid=PAZXh0bgNhZW0CMTEAAad7Bn3hJV6Qtdl36NCiHeQdPQJm3Oo_Q1weiEHdSsqNqVrpvbXXmAamzxc9Ow_aem_LSNmNfW6mXuMVxLvkj6t8g</t>
  </si>
  <si>
    <t>https://chat.whatsapp.com/E2kXOI6n4P8C7mzbLoqukI</t>
  </si>
  <si>
    <t>https://chat.whatsapp.com/LhbOvZPCBRW87WMZpqEndy</t>
  </si>
  <si>
    <t>https://chat.whatsapp.com/Lwj77WPLRUR6DaBKjCxino</t>
  </si>
  <si>
    <t>https://chat.whatsapp.com/HuIBzBxXsBnJaGDh4tJy2y</t>
  </si>
  <si>
    <t>https://chat.whatsapp.com/D1jHcv2JQHrL7piQ7gNF5q</t>
  </si>
  <si>
    <t>https://chat.whatsapp.com/ISzxMEo4sZmLeoFtICYcS7</t>
  </si>
  <si>
    <t>https://chat.whatsapp.com/BHtMiuht6D8JQElKtG0kCk</t>
  </si>
  <si>
    <t>https://chat.whatsapp.com/JJShzxTq1MAIxdMZLDnvDz?fbclid=PAZXh0bgNhZW0CMTEAAadN4T3xyzziKQMV8dWsx2w26DL9TFQrjE4WwgBT2AErRP1FtG1b5Z46rAzWKA_aem_GNU4GdNBlBCWVS_u0acX7w</t>
  </si>
  <si>
    <t>https://chat.whatsapp.com/KFnv00z4htX0GhuKpn6apx?fbclid=PAZXh0bgNhZW0CMTEAAaeZjDuJ40iFPTx1Yy_Sx2p-HqisThON_YjZb1MYjlDKUZ_xL7ZprihpmPcx0A_aem_C2-NhrqZRELqzHyTyulOpg</t>
  </si>
  <si>
    <t>https://chat.whatsapp.com/EVHrvfODHevIK6nAqfe6JL</t>
  </si>
  <si>
    <t>https://chat.whatsapp.com/JV86a7ozjh4DBDWXgED21z?fbclid=PAZXh0bgNhZW0CMTEAAaeS-TEbhkjmg2--yHvwcWeZc_K2RXt7w_Fthq2cuX5gfk9vYdezcPNN40Qn4w_aem_CvrUaIHzUQ7Ca9CIUxF2QA</t>
  </si>
  <si>
    <t>https://chat.whatsapp.com/D23i3Aocfky8tC8oAxxUn3?mode=r_c</t>
  </si>
  <si>
    <t>https://chat.whatsapp.com/IfyC3HjCdQS1Or9X1aB81O</t>
  </si>
  <si>
    <t>https://whatsapp.com/channel/0029Vb6uRsq3LdQMt8FL2X0k</t>
  </si>
  <si>
    <t>https://chat.whatsapp.com/EIAplurq7I2A0nd4ZcqWNj
https://chat.whatsapp.com/CHH2fXV2i2n1Yx3kfKMwYc</t>
  </si>
  <si>
    <t>https://chat.whatsapp.com/IftRu5fS2jK436z1a6yOQX</t>
  </si>
  <si>
    <t>https://chat.whatsapp.com/DXLcCBjXRv4D73Jib8kmN1?mode=ac_t&amp;fbclid=PAZXh0bgNhZW0CMTEAAae5b72rABlFt3dvXHiRYnRW-iCSMBElRW1uOXZqmlfoyyjRUbdf3YcyQUE9-g_aem_7B8LPmybyA0tDgFjJd2EYA</t>
  </si>
  <si>
    <t>https://chat.whatsapp.com/CmQVtmZUSiSG0Ifqe65mmB?fbclid=PAZXh0bgNhZW0CMTEAAadjEboFPAd0-qwJiW2WhjI8U221mVF7vpvp--XmHahuzrFZ946ThYW7tjojAA_aem_-MLkd3FMQUpsphAQhz5kiA</t>
  </si>
  <si>
    <t>https://chat.whatsapp.com/LkHeO0BnrHgB2TBJeQFHkd?fbclid=PAZXh0bgNhZW0CMTEAAaehzdN953FcdpJ-ZNL-MOg3xpsrgq9xtqvWBO9cGfDhsRVO52qC5NdCiQszmg_aem_f4cD466438-n9P1wfxTNMA</t>
  </si>
  <si>
    <t>https://t.me/eraumacasamuito</t>
  </si>
  <si>
    <t>https://chat.whatsapp.com/BDfTy6zh8OsGCN4zWOfSzW?mode=r_c&amp;fbclid=PAZXh0bgNhZW0CMTEAAae__io0myNa_OV_CUljrT9hxwIviD5wpS9Nj4Sgx_c5QNaTOh2e9W5pNGKEmA_aem_NOvHeazHETXU33ivgKNZcw</t>
  </si>
  <si>
    <t>https://chat.whatsapp.com/B79euMqi7BE6hd6NeTv39z?mode=ac_c&amp;fbclid=PAZXh0bgNhZW0CMTEAAafFyZCK1ozcN_U_ncc0UyCKvdZiGYWEAQB7f9loSUIO3ZaErIzv1gAq7Iz6Tg_aem_DtONkED5R0Xh8P469XNhEw</t>
  </si>
  <si>
    <t>https://chat.whatsapp.com/Jal8oRLgqLEJDxolTBLltW</t>
  </si>
  <si>
    <t>https://chat.whatsapp.com/DaZMY91iXS6GasYSOTdDPy?fbclid=PAZXh0bgNhZW0CMTEAAaeLeoriPn0-0hbf3vcOssOCzNO1IcCYo4f_NPmnqCZLEQv1FhPGCWIg7y5dFA_aem_7rvBQ3Az3QZWIh9BEc9Kcg</t>
  </si>
  <si>
    <t>https://chat.whatsapp.com/DLUKao1JGH9CB4bKtsSUSt?fbclid=PAZXh0bgNhZW0CMTEAAafC9BQNM8PzlpzFSodwo_X-WaiSOWevuk1-Tz1GFRiXx3oGIPopqOYyhUTmiA_aem_0jw-o07MjClCKqv6Tvk3sQ</t>
  </si>
  <si>
    <t>https://chat.whatsapp.com/BwDGi4Xodd12JlOCMxAnpu?mode=ac_t</t>
  </si>
  <si>
    <t>https://chat.whatsapp.com/Jq8n4ykshp8JLyxxO9EegU?mode=ems_copy_t</t>
  </si>
  <si>
    <t>https://chat.whatsapp.com/JwliHvFksEiDSmhElwqP5W?fbclid=PAZXh0bgNhZW0CMTEAAafqpp_r3Cif4jSoPZrk-5hY4MHTDRKUfprhGT-_K1LljnA9AoIPcl3Ldxj6Ug_aem_6z5ceERhht5CslhW8dIF1Q</t>
  </si>
  <si>
    <t>https://chat.whatsapp.com/J35VKuP8EOLFtZaq2Hu2it?fbclid=PAZXh0bgNhZW0CMTEAAac1DEub0kufl5CnzTfhWxGfhywYwtK4yAdhWoN_gyKfcNytXU5EFC1uVxkdvw_aem_mb0Wss1twKAEcCihC5X0gA</t>
  </si>
  <si>
    <t>https://chat.whatsapp.com/I52E8CM6aBsCYPQwIsYinG</t>
  </si>
  <si>
    <t>https://curt.link/grupovipdeofertas</t>
  </si>
  <si>
    <t>https://chat.whatsapp.com/BhqmU2xmZexKpoAV46f7eg</t>
  </si>
  <si>
    <t>Pendente</t>
  </si>
  <si>
    <t>top KAM Cross/Tech</t>
  </si>
  <si>
    <t>cus_cust_id_aff</t>
  </si>
  <si>
    <t>aff_name</t>
  </si>
  <si>
    <t>Check</t>
  </si>
  <si>
    <t>rede 1</t>
  </si>
  <si>
    <t>rede 2</t>
  </si>
  <si>
    <t>grupo</t>
  </si>
  <si>
    <t>promosdodia</t>
  </si>
  <si>
    <t>promozonevip</t>
  </si>
  <si>
    <t>https://www.whatsapp.com/channel/0029VbBuyGKCxoAyO2Utji3k</t>
  </si>
  <si>
    <t>minutoreview</t>
  </si>
  <si>
    <t>https://t.me/heroidapromo</t>
  </si>
  <si>
    <t>Xetdaspromocoes</t>
  </si>
  <si>
    <t>https://tr.ee/uRb7a25vid</t>
  </si>
  <si>
    <t>jersu</t>
  </si>
  <si>
    <t>https://chat.whatsapp.com/DEvLKnMXcn11I4VonM1GbH</t>
  </si>
  <si>
    <t>tukemperial</t>
  </si>
  <si>
    <t>gesiel</t>
  </si>
  <si>
    <t>https://www.whatsapp.com/channel/0029VaEPqqBDOQIUTTOCMg1l</t>
  </si>
  <si>
    <t>Toptech</t>
  </si>
  <si>
    <t>joaopsx</t>
  </si>
  <si>
    <t>https://www.whatsapp.com/channel/0029Va9lrS5GufIu669tIy13</t>
  </si>
  <si>
    <t>abelhando</t>
  </si>
  <si>
    <t>https://chat.whatsapp.com/K6CTXebMZ0eJMX8B8uIiA1</t>
  </si>
  <si>
    <t>thautec</t>
  </si>
  <si>
    <t>https://www.whatsapp.com/channel/0029Val8yoECHDyoi2TgYt1z</t>
  </si>
  <si>
    <t>economizei</t>
  </si>
  <si>
    <t>JCAPUBLICIDADE</t>
  </si>
  <si>
    <t>https://chat.whatsapp.com/D5RX0sZReSDISIJG4WsZ38</t>
  </si>
  <si>
    <t>lipe</t>
  </si>
  <si>
    <t>https://t.me/lipeofertas</t>
  </si>
  <si>
    <t>canalrodrigomoreira</t>
  </si>
  <si>
    <t>https://chat.whatsapp.com/DYL3yM8t1Qx5ZIRJR3PUh7?mode=ems_copy_t</t>
  </si>
  <si>
    <t>coelhonojapo</t>
  </si>
  <si>
    <t>https://chat.whatsapp.com/Ihx4dPdJUYAAxEmbT1o0Q8</t>
  </si>
  <si>
    <t>especialistaemti</t>
  </si>
  <si>
    <t>https://chat.whatsapp.com/LRjdSDkp9jd6OOLSCwY5Qm</t>
  </si>
  <si>
    <t>promocaozinha</t>
  </si>
  <si>
    <t>pobredasofertas</t>
  </si>
  <si>
    <t>promos4m</t>
  </si>
  <si>
    <t>desconto</t>
  </si>
  <si>
    <t>https://t.me/santostecpromo?fbclid=PAZXh0bgNhZW0CMTEAAaeVb188JbMikBC-pCWnnB-AVUWx8S9YKjN0MyENCabECnWM-Txqf-BfQBDA5A_aem_3uUYjDnj73qTV1TlZ3lA3A</t>
  </si>
  <si>
    <t>Canaljptech</t>
  </si>
  <si>
    <t>https://www.whatsapp.com/channel/0029VaDc0VKATRSg2k5sOb0u</t>
  </si>
  <si>
    <t>pcdofafa</t>
  </si>
  <si>
    <t>https://t.me/fafapromoshorts</t>
  </si>
  <si>
    <t>urubupromo</t>
  </si>
  <si>
    <t>tttech</t>
  </si>
  <si>
    <t>https://chat.whatsapp.com/Dq1JEvVMkAmJywEcvLbjB8</t>
  </si>
  <si>
    <t>peguepromo</t>
  </si>
  <si>
    <t>Link quebrado</t>
  </si>
  <si>
    <t>inovaleo</t>
  </si>
  <si>
    <t>https://chat.whatsapp.com/JWySm0bg2QjDJwYKymBRAr?mode=wwt</t>
  </si>
  <si>
    <t>agenciarice</t>
  </si>
  <si>
    <t>qualnotebook</t>
  </si>
  <si>
    <t>https://chat.whatsapp.com/J5kJyOeNUjnAOla4kweuk4</t>
  </si>
  <si>
    <t>promosinc</t>
  </si>
  <si>
    <t>Daniel Reenlsober</t>
  </si>
  <si>
    <t>https://www.whatsapp.com/channel/0029Va9QFJGICVfkJA730514</t>
  </si>
  <si>
    <t>mastertechjr</t>
  </si>
  <si>
    <t>https://t.me/mastertechjr?fbclid=PAZXh0bgNhZW0CMTEAAaewxnUciKJdSe5Wco9fLTmBaJM1DHn4eoDmr2swvK0goIkep-9zfI_u-Knyhw_aem_0gcMRKOctBIeWR6jSsQ7RQ</t>
  </si>
  <si>
    <t>promotop</t>
  </si>
  <si>
    <t>jeffrecomenda</t>
  </si>
  <si>
    <t>https://chat.whatsapp.com/EtM3xhWp5wcFuqkVNdLOL1?mode=ac_t&amp;fbclid=PAZXh0bgNhZW0CMTEAAcvKmLCoRYh1JrXVQa4GIsd0EnkbBnFBQ4AcdQWmNVlGTiH5r-fPAM9WgGJDw_aem_9ZENO9O-OpjiO-ebHt4fdA</t>
  </si>
  <si>
    <t>promoimperdivel</t>
  </si>
  <si>
    <t>https://chat.whatsapp.com/IFJMvDHZc2AIYyGqQcEHqt</t>
  </si>
  <si>
    <t>bench promos</t>
  </si>
  <si>
    <t>https://www.whatsapp.com/channel/0029VbBJP9aDzgTBmNHBd62p?fbclid=PAZXh0bgNhZW0CMTEAAae32tBkLXNaDzwchmglVLXLDmLa4onLEK6UMw4op25Tx7lTcIryD6JcBRv1UA_aem_AznNWot3JZd5_PmBAUTuNg</t>
  </si>
  <si>
    <t>switchxz</t>
  </si>
  <si>
    <t>https://t.me/LinksBrazil?fbclid=PAZXh0bgNhZW0CMTEAAaeCZzCU7ct0adx3XBcqEzD56i_Y-W9K4JavWSlJnENQoakUhv1Jo7E97niWAQ_aem_nKvEHacyctGXjbbgz8Qztw</t>
  </si>
  <si>
    <t>novosprodutos</t>
  </si>
  <si>
    <t>https://chat.whatsapp.com/GzuMpKwpGqy89P9YL4cu4x?fbclid=PAZXh0bgNhZW0CMTEAAadtVsUG-QmJI9FtehAWBo4gBDhfKLcva3fXquMK1HL2EKTrPPso_iZwcw83BA_aem_5eHhxYVaRpg-LB_H71RvZg</t>
  </si>
  <si>
    <t>so_promocoesdodia</t>
  </si>
  <si>
    <t>https://chat.whatsapp.com/Gw5saEcajBS8p7yf7rgDvf?mode=wwc</t>
  </si>
  <si>
    <t>clubedopresidente</t>
  </si>
  <si>
    <t>techbr</t>
  </si>
  <si>
    <t>https://chat.whatsapp.com/DYO3GUfjbNi6ZLlYEBc0hG</t>
  </si>
  <si>
    <t>tempromo</t>
  </si>
  <si>
    <t>https://chat.whatsapp.com/Hsn9IVgrwTWBORxZBTmdSe?mode=wwt</t>
  </si>
  <si>
    <t>techmelhores</t>
  </si>
  <si>
    <t>descontoemgames</t>
  </si>
  <si>
    <t>https://www.whatsapp.com/channel/0029Va9PbS9Id7nVKzupxn15</t>
  </si>
  <si>
    <t>ofcprominho</t>
  </si>
  <si>
    <t>lapromotion</t>
  </si>
  <si>
    <t>https://www.whatsapp.com/channel/0029VbBZEOzCcW4qg3agqr1H?fbclid=PAZXh0bgNhZW0CMTEAAaeFiwUajifNZ5lSJ33qtqW4O3Ed3OmDUMpe2eW_DFVvenI4Etq-XlhfzEdDcw_aem_5DOqV2dx_s7qAWbX99agvw</t>
  </si>
  <si>
    <t>kotas</t>
  </si>
  <si>
    <t>https://chat.whatsapp.com/Hcb23EBqkdo3vYXuuyB8bB?fbclid=PAZXh0bgNhZW0CMTEAAadoR2nM9Yz5VIa_hKSRiNmCnEg4ichC7UL4Cd04m9S8RqZ6hB-s05pfYEyo6w_aem_-lESTKZnYboCxtyqP0CpvA</t>
  </si>
  <si>
    <t>promotecgames</t>
  </si>
  <si>
    <t>preguicaofertas</t>
  </si>
  <si>
    <t>garimpeiofertas</t>
  </si>
  <si>
    <t>https://chat.whatsapp.com/JEDsYEWz7z4IE3YJZrqqq1</t>
  </si>
  <si>
    <t>matheuskise</t>
  </si>
  <si>
    <t>https://t.me/OlhoNaPROMO</t>
  </si>
  <si>
    <t>tabaratasso</t>
  </si>
  <si>
    <t>Fraguas84</t>
  </si>
  <si>
    <t>https://t.me/Fraguas84Oficial</t>
  </si>
  <si>
    <t>tecvariedades</t>
  </si>
  <si>
    <t>samuelf3lipe</t>
  </si>
  <si>
    <t>https://chat.whatsapp.com/HZwM8xn312XFXh711EG8iQ</t>
  </si>
  <si>
    <t>promosdebrother</t>
  </si>
  <si>
    <t>tjgaming</t>
  </si>
  <si>
    <t>achadosempromo</t>
  </si>
  <si>
    <t>Sem link no perfil</t>
  </si>
  <si>
    <t>garimpeiros</t>
  </si>
  <si>
    <t>bizudaspromocoes</t>
  </si>
  <si>
    <t>https://chat.whatsapp.com/HedUmWn1r3VKHnlZEue8gB?mode=ems_copy_t</t>
  </si>
  <si>
    <t>sddescontos</t>
  </si>
  <si>
    <t>pincei</t>
  </si>
  <si>
    <t>https://chat.whatsapp.com/FlTqfDyBFsfEnhg3aNrd2a</t>
  </si>
  <si>
    <t>ofertasgamer</t>
  </si>
  <si>
    <t>https://www.whatsapp.com/channel/0029VaklNp8K5cDK9b5V5L0l</t>
  </si>
  <si>
    <t>jogobarato</t>
  </si>
  <si>
    <t>guerradealsfit</t>
  </si>
  <si>
    <t>OLHADAPROMOS</t>
  </si>
  <si>
    <t>peperaio</t>
  </si>
  <si>
    <t>https://chat.whatsapp.com/GOV8P4YrmjZ3nlehN5jDBZ
https://chat.whatsapp.com/K6h8AUFY48X6r3bSRuN41P</t>
  </si>
  <si>
    <t>babypromokids</t>
  </si>
  <si>
    <t>https://chat.whatsapp.com/E4qUixsvh7p5U3oS1RBXrk</t>
  </si>
  <si>
    <t>fadadoscupons</t>
  </si>
  <si>
    <t>tosemkit</t>
  </si>
  <si>
    <t>https://chat.whatsapp.com/JQvT3vKC2vj0CscIGMwjAG?mode=wwt</t>
  </si>
  <si>
    <t>promohub</t>
  </si>
  <si>
    <t>https://chat.whatsapp.com/KbiC4HyAPgZ5c0B4YZtX5N</t>
  </si>
  <si>
    <t>br20250326135135</t>
  </si>
  <si>
    <t>recomendou</t>
  </si>
  <si>
    <t>Sem link</t>
  </si>
  <si>
    <t>cupons</t>
  </si>
  <si>
    <t>ultreyamarketing</t>
  </si>
  <si>
    <t>gugaaprova</t>
  </si>
  <si>
    <t>ofertinhasecia</t>
  </si>
  <si>
    <t>d6news</t>
  </si>
  <si>
    <t>https://chat.whatsapp.com/JG3b8ccRQQtHsNnIwRcvE1</t>
  </si>
  <si>
    <t>leotecnodia</t>
  </si>
  <si>
    <t>Canal</t>
  </si>
  <si>
    <t>Misto</t>
  </si>
  <si>
    <t>Grupo</t>
  </si>
  <si>
    <t>Telegram</t>
  </si>
  <si>
    <t>https://chat.whatsapp.com/FpExACiIrkOJDO4TPoqJjO</t>
  </si>
  <si>
    <t>Link Quebrado</t>
  </si>
  <si>
    <t>https://chat.whatsapp.com/FFBssTAsJUe5S1fdCPjfjU</t>
  </si>
  <si>
    <t>https://chat.whatsapp.com/JUkT4DzEq8E2qKDq8gUQNV</t>
  </si>
  <si>
    <t>https://chat.whatsapp.com/JfArtqAk9VfD6b8ZOz4Qyc</t>
  </si>
  <si>
    <t>https://chat.whatsapp.com/EuPOVBxriny1fYPaTfWKkW</t>
  </si>
  <si>
    <t>Conversa</t>
  </si>
  <si>
    <t>Tipo Link</t>
  </si>
  <si>
    <t>URL Corrigida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</si>
</sst>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16]#,##0.00"/>
    <numFmt numFmtId="165" formatCode="###0"/>
  </numFmts>
  <fonts count="15">
    <font>
      <sz val="10"/>
      <color rgb="FF000000"/>
      <name val="Arial"/>
      <scheme val="minor"/>
    </font>
    <font>
      <b/>
      <sz val="9"/>
      <color rgb="FFFFFFFF"/>
      <name val="Proxima Nova"/>
    </font>
    <font>
      <sz val="10"/>
      <color theme="1"/>
      <name val="Arial"/>
      <scheme val="minor"/>
    </font>
    <font>
      <sz val="9"/>
      <color theme="1"/>
      <name val="Proxima Nova"/>
    </font>
    <font>
      <u/>
      <sz val="9"/>
      <color rgb="FF1155CC"/>
      <name val="Proxima Nova"/>
    </font>
    <font>
      <u/>
      <sz val="9"/>
      <color rgb="FF0000FF"/>
      <name val="Proxima Nova"/>
    </font>
    <font>
      <sz val="10"/>
      <color theme="1"/>
      <name val="Arial"/>
    </font>
    <font>
      <b/>
      <sz val="10"/>
      <color rgb="FFFFFFFF"/>
      <name val="Proxima Nova"/>
    </font>
    <font>
      <sz val="10"/>
      <color theme="1"/>
      <name val="Proxima Nova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9"/>
      <name val="Proxima Nova"/>
    </font>
    <font>
      <u/>
      <sz val="10"/>
      <color theme="1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38761D"/>
        <bgColor rgb="FF38761D"/>
      </patternFill>
    </fill>
    <fill>
      <patternFill patternType="solid">
        <fgColor rgb="FF073763"/>
        <bgColor rgb="FF073763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hair">
        <color rgb="FF666666"/>
      </right>
      <top/>
      <bottom style="thin">
        <color rgb="FF000000"/>
      </bottom>
      <diagonal/>
    </border>
    <border>
      <left/>
      <right style="hair">
        <color rgb="FF666666"/>
      </right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4" borderId="1" xfId="0" applyFont="1" applyFill="1" applyBorder="1" applyAlignment="1">
      <alignment horizontal="center" wrapText="1"/>
    </xf>
    <xf numFmtId="164" fontId="7" fillId="4" borderId="2" xfId="0" applyNumberFormat="1" applyFont="1" applyFill="1" applyBorder="1" applyAlignment="1">
      <alignment horizontal="center" wrapText="1"/>
    </xf>
    <xf numFmtId="165" fontId="8" fillId="5" borderId="0" xfId="0" applyNumberFormat="1" applyFont="1" applyFill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2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0" xfId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0" fillId="8" borderId="0" xfId="0" applyFill="1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hat.whatsapp.com/Chcg5YTJDdRIgDNycwYBx0" TargetMode="External"/><Relationship Id="rId21" Type="http://schemas.openxmlformats.org/officeDocument/2006/relationships/hyperlink" Target="https://chat.whatsapp.com/Ij1adPFRDEgEnWBXtTbPAE" TargetMode="External"/><Relationship Id="rId42" Type="http://schemas.openxmlformats.org/officeDocument/2006/relationships/hyperlink" Target="https://chat.whatsapp.com/FKCP03nC7DLKYr1sonRws9" TargetMode="External"/><Relationship Id="rId63" Type="http://schemas.openxmlformats.org/officeDocument/2006/relationships/hyperlink" Target="https://chat.whatsapp.com/CCbeOEcw45ZIS7Du8dZchQ" TargetMode="External"/><Relationship Id="rId84" Type="http://schemas.openxmlformats.org/officeDocument/2006/relationships/hyperlink" Target="https://t.me/marcustech" TargetMode="External"/><Relationship Id="rId138" Type="http://schemas.openxmlformats.org/officeDocument/2006/relationships/hyperlink" Target="https://chat.whatsapp.com/KTmWGkMPgymIZSlUxvK2D3" TargetMode="External"/><Relationship Id="rId159" Type="http://schemas.openxmlformats.org/officeDocument/2006/relationships/hyperlink" Target="https://chat.whatsapp.com/LwFa8IEby72AHMw1mzXh4e?mode=wwt" TargetMode="External"/><Relationship Id="rId170" Type="http://schemas.openxmlformats.org/officeDocument/2006/relationships/hyperlink" Target="https://chat.whatsapp.com/LPpRGK4WvR81psNepIOaUu?mode=r_c&amp;fbclid=PAZXh0bgNhZW0CMTEAAaesKYh7TggEYAVosoKGdc9BIvw94GNAYwg7sRcKAbskAEbN9aRvidpeZL2DFQ_aem_dCP_062_l1exXQxFLlvDCw" TargetMode="External"/><Relationship Id="rId191" Type="http://schemas.openxmlformats.org/officeDocument/2006/relationships/hyperlink" Target="https://chat.whatsapp.com/LPyuTee5x46DumQfzur4BB" TargetMode="External"/><Relationship Id="rId205" Type="http://schemas.openxmlformats.org/officeDocument/2006/relationships/hyperlink" Target="https://chat.whatsapp.com/K310kjNbwASEDJ91U8X5Bm?mode=wwc&amp;fbclid=PAZXh0bgNhZW0CMTEAAac9JFVgervJTQFvCkEms2VpM58SnT0hTf-NerD4rNAaFoOJPRWRMvQcqJ80oA_aem_mMQHuj-5Ov9z-FNmSOhd8A" TargetMode="External"/><Relationship Id="rId226" Type="http://schemas.openxmlformats.org/officeDocument/2006/relationships/hyperlink" Target="https://chat.whatsapp.com/LLg4yElJWJB1oW5S6dU84l?mode=wwc&amp;fbclid=PAZXh0bgNhZW0CMTEAAaeFe1q7BZHrcru9DCDJEcXMbay0g36UeJzbRySYgqropyztU-GUNSZSe7w_Uw_aem_IgnsdQI5kA6JcKQmfYTEuA" TargetMode="External"/><Relationship Id="rId107" Type="http://schemas.openxmlformats.org/officeDocument/2006/relationships/hyperlink" Target="https://chat.whatsapp.com/BJK04Bp8B0TBWJDs73DNxc" TargetMode="External"/><Relationship Id="rId11" Type="http://schemas.openxmlformats.org/officeDocument/2006/relationships/hyperlink" Target="https://chat.whatsapp.com/ELd5ipGU0HnGR2nsuZzCOw" TargetMode="External"/><Relationship Id="rId32" Type="http://schemas.openxmlformats.org/officeDocument/2006/relationships/hyperlink" Target="https://chat.whatsapp.com/Lvt6ezs2Fz6ItqKyCW6JE6?mode=ems_copy_c&amp;fbclid=PAZXh0bgNhZW0CMTEAAaecVIipIqzPHpM9TWnQt9z5lLbf8yw0MVN9vTjW7esIEjh9DNIm2Xb8mIN4kw_aem__bvkExuwYQzmobqnHbOmOA" TargetMode="External"/><Relationship Id="rId53" Type="http://schemas.openxmlformats.org/officeDocument/2006/relationships/hyperlink" Target="https://chat.whatsapp.com/EjovDaMbPZQDVCaNhnU3WC?mode=ems_copy_t&amp;fbclid=PAZXh0bgNhZW0CMTEAAafQEZ1vNnvu6fQojNL2XbzG4MAa62PGgh6cms9Jv9F698cBT-71Na6LZINW_g_aem_wqFxjDTQoeWLoWKirRqGPg" TargetMode="External"/><Relationship Id="rId74" Type="http://schemas.openxmlformats.org/officeDocument/2006/relationships/hyperlink" Target="https://t.me/ofertasdorocha" TargetMode="External"/><Relationship Id="rId128" Type="http://schemas.openxmlformats.org/officeDocument/2006/relationships/hyperlink" Target="https://chat.whatsapp.com/3GnbahT2kj07ibWPPnar6t" TargetMode="External"/><Relationship Id="rId149" Type="http://schemas.openxmlformats.org/officeDocument/2006/relationships/hyperlink" Target="https://chat.whatsapp.com/HBvVODelAE210I8mQbpZxF" TargetMode="External"/><Relationship Id="rId5" Type="http://schemas.openxmlformats.org/officeDocument/2006/relationships/hyperlink" Target="https://chat.whatsapp.com/KvP3btvte3j6t7w7m9Q6h7" TargetMode="External"/><Relationship Id="rId95" Type="http://schemas.openxmlformats.org/officeDocument/2006/relationships/hyperlink" Target="https://t.me/descontosep" TargetMode="External"/><Relationship Id="rId160" Type="http://schemas.openxmlformats.org/officeDocument/2006/relationships/hyperlink" Target="https://www.whatsapp.com/channel/0029Vao7Mp94CrfckfC8Z03Z?fbclid=PAZXh0bgNhZW0CMTEAAafqrbgD1HhtMtfrPXqE12otlUTYrXzOCOTd9AGMnzD5bzX2FIXotnABMRFqlA_aem_WrYV-v1N0kKCCJ0qYOYNyg" TargetMode="External"/><Relationship Id="rId181" Type="http://schemas.openxmlformats.org/officeDocument/2006/relationships/hyperlink" Target="https://chat.whatsapp.com/ED3SWc4c1ZT2oeACRALSiI?fbclid=PAZXh0bgNhZW0CMTEAAadYUujDSi-fDWl6u9ooOCnZFX8wkV_ZT9uZW8WyHrud-Tx_C2WBQxIefWv4yw_aem_CF9ezvNK1O2X6PKuhvj8oQ" TargetMode="External"/><Relationship Id="rId216" Type="http://schemas.openxmlformats.org/officeDocument/2006/relationships/hyperlink" Target="https://chat.whatsapp.com/IiRsOuBEKu20Ad55TK6oQo" TargetMode="External"/><Relationship Id="rId237" Type="http://schemas.openxmlformats.org/officeDocument/2006/relationships/hyperlink" Target="https://i.sendflow.pro/invite/pAtaG706VFv2j2gIIMuO" TargetMode="External"/><Relationship Id="rId22" Type="http://schemas.openxmlformats.org/officeDocument/2006/relationships/hyperlink" Target="https://api.whatsapp.com/send?phone=5583998873301&amp;text=" TargetMode="External"/><Relationship Id="rId43" Type="http://schemas.openxmlformats.org/officeDocument/2006/relationships/hyperlink" Target="https://chat.whatsapp.com/FJpxwCaPLyO6VJjgSQPRRo?mode=ac_t" TargetMode="External"/><Relationship Id="rId64" Type="http://schemas.openxmlformats.org/officeDocument/2006/relationships/hyperlink" Target="https://chat.whatsapp.com/K41Nfk48Mid9cAN7OA1V3K" TargetMode="External"/><Relationship Id="rId118" Type="http://schemas.openxmlformats.org/officeDocument/2006/relationships/hyperlink" Target="https://t.me/rotinadepromocoes" TargetMode="External"/><Relationship Id="rId139" Type="http://schemas.openxmlformats.org/officeDocument/2006/relationships/hyperlink" Target="https://www.whatsapp.com/channel/0029Va6L9zc5kg75OpwQIB40" TargetMode="External"/><Relationship Id="rId85" Type="http://schemas.openxmlformats.org/officeDocument/2006/relationships/hyperlink" Target="https://chat.whatsapp.com/DiaQsENFguqJvobfT8ohim" TargetMode="External"/><Relationship Id="rId150" Type="http://schemas.openxmlformats.org/officeDocument/2006/relationships/hyperlink" Target="https://chat.whatsapp.com/KTzHdnCLZkzAFYgqWaSqFn?fbclid=PAZXh0bgNhZW0CMTEAAacYYtqHsmlP-VN5s_k_v0SXlW8v19O79nXlRjQb5QJICnPvjp-HYWL2PvQidA_aem_bhK-IKlLNpW0_SSFN6WpAw" TargetMode="External"/><Relationship Id="rId171" Type="http://schemas.openxmlformats.org/officeDocument/2006/relationships/hyperlink" Target="https://www.whatsapp.com/channel/0029Vb6utoYFXUuZXnzl5619" TargetMode="External"/><Relationship Id="rId192" Type="http://schemas.openxmlformats.org/officeDocument/2006/relationships/hyperlink" Target="https://chat.whatsapp.com/DQUSzXeoHmM8dnvqP9QBbT" TargetMode="External"/><Relationship Id="rId206" Type="http://schemas.openxmlformats.org/officeDocument/2006/relationships/hyperlink" Target="https://chat.whatsapp.com/K310kjNbwASEDJ91U8X5Bm?mode=wwc&amp;fbclid=PAZXh0bgNhZW0CMTEAAac9JFVgervJTQFvCkEms2VpM58SnT0hTf-NerD4rNAaFoOJPRWRMvQcqJ80oA_aem_mMQHuj-5Ov9z-FNmSOhd8A" TargetMode="External"/><Relationship Id="rId227" Type="http://schemas.openxmlformats.org/officeDocument/2006/relationships/hyperlink" Target="https://chat.whatsapp.com/L0q0tJF65svDjwMH33RBZo" TargetMode="External"/><Relationship Id="rId12" Type="http://schemas.openxmlformats.org/officeDocument/2006/relationships/hyperlink" Target="https://chat.whatsapp.com/EfbYI7XUWZA1KcK89zgygE?mode=ems_copy_t" TargetMode="External"/><Relationship Id="rId33" Type="http://schemas.openxmlformats.org/officeDocument/2006/relationships/hyperlink" Target="https://i.sendflow.pro/invite/GrupoDaGaaby?utm_id=1344207247310791_v2_s01_e1001&amp;fbclid=PAZXh0bgNhZW0CMTEAAadI0I5Xxqj2d3cC6QNpTKVu3GVOoWRpweL6ejiN9j8h_70LcVId0QaDQyabog_aem_OHbflDNFGlrp5Hutuk-rCQ" TargetMode="External"/><Relationship Id="rId108" Type="http://schemas.openxmlformats.org/officeDocument/2006/relationships/hyperlink" Target="https://chat.whatsapp.com/KXGSBZpRWnc5c66bbkNL1b" TargetMode="External"/><Relationship Id="rId129" Type="http://schemas.openxmlformats.org/officeDocument/2006/relationships/hyperlink" Target="https://chat.whatsapp.com/D5Si0eBiQZj9DZaRSJDgrA" TargetMode="External"/><Relationship Id="rId54" Type="http://schemas.openxmlformats.org/officeDocument/2006/relationships/hyperlink" Target="https://chat.whatsapp.com/HiAZjhqm6DQFLfIkcwhqru" TargetMode="External"/><Relationship Id="rId75" Type="http://schemas.openxmlformats.org/officeDocument/2006/relationships/hyperlink" Target="https://chat.whatsapp.com/CFYwI669SIOF6h8Dspgdfw?fbclid=PAZXh0bgNhZW0CMTEAAadfHkgIVRpL2XfLlMCPSsptBT0_idL8AwH8awbrXh6fjwwatyZoAdC7k3Vpag_aem_mCKPwDK3zqKPDGYMblGQMg" TargetMode="External"/><Relationship Id="rId96" Type="http://schemas.openxmlformats.org/officeDocument/2006/relationships/hyperlink" Target="https://chat.whatsapp.com/GRFJfs23lgYBEmRSmbRyzl?mode=ems_copy_t" TargetMode="External"/><Relationship Id="rId140" Type="http://schemas.openxmlformats.org/officeDocument/2006/relationships/hyperlink" Target="https://chat.whatsapp.com/KWqUZWZVI6WENZyd4UPWvi" TargetMode="External"/><Relationship Id="rId161" Type="http://schemas.openxmlformats.org/officeDocument/2006/relationships/hyperlink" Target="https://chat.whatsapp.com/K6fDMEvCuIpCjwGRpMsxIV" TargetMode="External"/><Relationship Id="rId182" Type="http://schemas.openxmlformats.org/officeDocument/2006/relationships/hyperlink" Target="https://chat.whatsapp.com/FToNcyvr7uE9gOhvcLo8RV?mode=wwc" TargetMode="External"/><Relationship Id="rId217" Type="http://schemas.openxmlformats.org/officeDocument/2006/relationships/hyperlink" Target="https://chat.whatsapp.com/JmwHWGGtLLh87hKuYFh1tE" TargetMode="External"/><Relationship Id="rId6" Type="http://schemas.openxmlformats.org/officeDocument/2006/relationships/hyperlink" Target="https://achadinhosimperdiveis.com.br/achadinho-grupo" TargetMode="External"/><Relationship Id="rId238" Type="http://schemas.openxmlformats.org/officeDocument/2006/relationships/hyperlink" Target="https://api.whatsapp.com/send/?phone=5511946339233&amp;text&amp;type=phone_number&amp;app_absent=0" TargetMode="External"/><Relationship Id="rId23" Type="http://schemas.openxmlformats.org/officeDocument/2006/relationships/hyperlink" Target="https://chat.whatsapp.com/HdeizfsVqa09p5ffxHbCd2?fbclid=PAZXh0bgNhZW0CMTEAAaeL26lXQIxBZmLIkD3IT1DEJDKF321rxbusS5JGo-8UaQZ4ww5C_OccsS4kJg_aem_I8ujeNXgwIL7sxU-kq_67Q" TargetMode="External"/><Relationship Id="rId119" Type="http://schemas.openxmlformats.org/officeDocument/2006/relationships/hyperlink" Target="https://chat.whatsapp.com/Lqua75hMObP5wXwKCyiq7o" TargetMode="External"/><Relationship Id="rId44" Type="http://schemas.openxmlformats.org/officeDocument/2006/relationships/hyperlink" Target="http://chat.whatsapp.com/FuRrPRMeses2RqaTpBagwf" TargetMode="External"/><Relationship Id="rId65" Type="http://schemas.openxmlformats.org/officeDocument/2006/relationships/hyperlink" Target="https://chat.whatsapp.com/Hi4wsoxm8oyDgk09a0zpEW?mode=wwc" TargetMode="External"/><Relationship Id="rId86" Type="http://schemas.openxmlformats.org/officeDocument/2006/relationships/hyperlink" Target="https://chat.whatsapp.com/FzoBRhQjSBR8qAaYXWbBWx" TargetMode="External"/><Relationship Id="rId130" Type="http://schemas.openxmlformats.org/officeDocument/2006/relationships/hyperlink" Target="https://chat.whatsapp.com/FhGAAsVS7LDIUWw6lvxzut?mode=wwt" TargetMode="External"/><Relationship Id="rId151" Type="http://schemas.openxmlformats.org/officeDocument/2006/relationships/hyperlink" Target="https://t.me/reviewscurtinhas" TargetMode="External"/><Relationship Id="rId172" Type="http://schemas.openxmlformats.org/officeDocument/2006/relationships/hyperlink" Target="https://www.whatsapp.com/channel/0029VanhKWjJUM2ZkrzNmD2o?fbclid=PAZXh0bgNhZW0CMTEAAafINMsRh0RSg6agGBRpJ-mLjGyQ6NZQTiTqtAq9rpgSRyaOgKj5RPF8KNa56g_aem_Zbp4KVgp38vv7jUpg2SNGg" TargetMode="External"/><Relationship Id="rId193" Type="http://schemas.openxmlformats.org/officeDocument/2006/relationships/hyperlink" Target="https://chat.whatsapp.com/EFKnGyxcmb43wn8JP4oK3k?utm_medium=social&amp;utm_source=heylink.me" TargetMode="External"/><Relationship Id="rId207" Type="http://schemas.openxmlformats.org/officeDocument/2006/relationships/hyperlink" Target="https://chat.whatsapp.com/IEX4hvJtnfX3YLHRy8gpbO" TargetMode="External"/><Relationship Id="rId228" Type="http://schemas.openxmlformats.org/officeDocument/2006/relationships/hyperlink" Target="https://chat.whatsapp.com/Lj3fllktYP38P1UCKvKIgn?fbclid=PAZXh0bgNhZW0CMTEAAadbdWjxjuoLALegow5kAk7G544y-7XDP5UzPjGQx7153TkYL1-iMsNR9vJalQ_aem_aXz7BbfxdVcfDiXgVAxAhA" TargetMode="External"/><Relationship Id="rId13" Type="http://schemas.openxmlformats.org/officeDocument/2006/relationships/hyperlink" Target="https://chat.whatsapp.com/CmYgB22aHsx7TOrqHiR5HA?fbclid=PAZXh0bgNhZW0CMTEAAadm_gN-wFWHK0orkvFgp03psOgl56Xs7kbag4yvx6pH-s8EpKxso7OCv0NTUg_aem_Df89t4P5X9intBoCSuNH0Q" TargetMode="External"/><Relationship Id="rId109" Type="http://schemas.openxmlformats.org/officeDocument/2006/relationships/hyperlink" Target="https://chat.whatsapp.com/FPXOx5VQyej1vQozBLve0H?mode=r_c&amp;fbclid=PAZXh0bgNhZW0CMTEAAaerANDtOA9-09v80KsS86j8jZG3nr30IMesluunHwol1wDhWW7YHdPxWFH_sg_aem_YLvb9T5PjSTYQPFN52q8Vg" TargetMode="External"/><Relationship Id="rId34" Type="http://schemas.openxmlformats.org/officeDocument/2006/relationships/hyperlink" Target="https://chat.whatsapp.com/Ks3048s1gRjGzqfnbOmRKs" TargetMode="External"/><Relationship Id="rId55" Type="http://schemas.openxmlformats.org/officeDocument/2006/relationships/hyperlink" Target="https://t.me/hardmoboficial?fbclid=PAZXh0bgNhZW0CMTEAAad91QlFMoxqd5UJjboP1N62cWtANiGM8E-vBGNaFAYTv22PVy_IgmIAYP2ncA_aem_dIDit8IE-_yP-KhZd8qrvw" TargetMode="External"/><Relationship Id="rId76" Type="http://schemas.openxmlformats.org/officeDocument/2006/relationships/hyperlink" Target="https://chat.whatsapp.com/I4uxOIVx0LvCPNpKYNbO5D?mode=wwt" TargetMode="External"/><Relationship Id="rId97" Type="http://schemas.openxmlformats.org/officeDocument/2006/relationships/hyperlink" Target="https://chat.whatsapp.com/Ia4ivP80m2KE4cfu9BiMGy" TargetMode="External"/><Relationship Id="rId120" Type="http://schemas.openxmlformats.org/officeDocument/2006/relationships/hyperlink" Target="https://chat.whatsapp.com/FsvG2pXtqDX9QDfbWuaJUR?mode=wwt&amp;fbclid=PAZXh0bgNhZW0CMTEAAaf7m7PUmfqKEkv93xlrvg8Qsw37w3HubItTgUP9LpDrfjd_hXnwTFvrlVQ-5w_aem_zsY6aAKg8GxvUz_AobOnlQ" TargetMode="External"/><Relationship Id="rId141" Type="http://schemas.openxmlformats.org/officeDocument/2006/relationships/hyperlink" Target="https://t.me/+ANHblIhLcV9lYmYx" TargetMode="External"/><Relationship Id="rId7" Type="http://schemas.openxmlformats.org/officeDocument/2006/relationships/hyperlink" Target="https://chat.whatsapp.com/EuscaPvDB4t2rTAC1gSG05" TargetMode="External"/><Relationship Id="rId162" Type="http://schemas.openxmlformats.org/officeDocument/2006/relationships/hyperlink" Target="https://chat.whatsapp.com/HRKF83AP2LsI3SyVcByb8t?mode=wwc&amp;fbclid=PAZXh0bgNhZW0CMTEAAaeBf52vBJhb_3lOCokfBKX108CQiTDGlB0Wj7nLvsMGQJO9Fy3uqdAV_tyVUQ_aem_AqLOq9yfZf-6T3dDqQpfGg" TargetMode="External"/><Relationship Id="rId183" Type="http://schemas.openxmlformats.org/officeDocument/2006/relationships/hyperlink" Target="https://chat.whatsapp.com/JEXULayLCWkIqh89sJX4Cj?mode=ems_copy_t&amp;fbclid=PAZXh0bgNhZW0CMTEAAadltqLlBBGH8ZOTU0aFrpTWiGOlKgxakToaDNYVS_OAqUeRgStOikHzM9dibg_aem_RBcpXOFzg8l2iejwp9rfMQ" TargetMode="External"/><Relationship Id="rId218" Type="http://schemas.openxmlformats.org/officeDocument/2006/relationships/hyperlink" Target="https://chat.whatsapp.com/CbIau6c3CA7C0LMxobWHXA" TargetMode="External"/><Relationship Id="rId239" Type="http://schemas.openxmlformats.org/officeDocument/2006/relationships/hyperlink" Target="https://tr.ee/zHxv780O0c" TargetMode="External"/><Relationship Id="rId24" Type="http://schemas.openxmlformats.org/officeDocument/2006/relationships/hyperlink" Target="https://www.whatsapp.com/channel/0029Va4l5Wx545uoDl9sil27" TargetMode="External"/><Relationship Id="rId45" Type="http://schemas.openxmlformats.org/officeDocument/2006/relationships/hyperlink" Target="https://t.me/promotom" TargetMode="External"/><Relationship Id="rId66" Type="http://schemas.openxmlformats.org/officeDocument/2006/relationships/hyperlink" Target="https://t.me/guigatudo?fbclid=PAZXh0bgNhZW0CMTEAAacBjHWdgbtIiHfb7eVYEP7x7VJoopp-_VAx_bvrD99Tkr_EbdNI1HnzpiKmUQ_aem_4ywXVHc8170ntvYwuqnUjA" TargetMode="External"/><Relationship Id="rId87" Type="http://schemas.openxmlformats.org/officeDocument/2006/relationships/hyperlink" Target="https://www.whatsapp.com/channel/0029Va8zBgzChq6DXixWSk39" TargetMode="External"/><Relationship Id="rId110" Type="http://schemas.openxmlformats.org/officeDocument/2006/relationships/hyperlink" Target="https://chat.whatsapp.com/DxZvHGHttCaD6JyJDH909k?mode=wwt&amp;fbclid=PAZXh0bgNhZW0CMTEAAafDOQHHkx43U6V6yK1GZ0KWi3WAZMWWaw8rgPdMLzTBFFgHMY8JDIzKpHEVkw_aem_-wdaoGB2zHWQUF09AzvSgw" TargetMode="External"/><Relationship Id="rId131" Type="http://schemas.openxmlformats.org/officeDocument/2006/relationships/hyperlink" Target="https://t.me/addlist/9LJT4-m2PfI4YjFh" TargetMode="External"/><Relationship Id="rId152" Type="http://schemas.openxmlformats.org/officeDocument/2006/relationships/hyperlink" Target="https://chat.whatsapp.com/HQHx4Tr5C3M1kEKkgzsVxC?mode=ems_copy_t&amp;fbclid=PAZXh0bgNhZW0CMTEAAacpe4HfJwoTXcFCXXHX2GpWSyGNtz7YH_lLwX1zs25qmeILYdSeuMvHWRpRxQ_aem_hq1hMcGK9YB82zPFAupThw" TargetMode="External"/><Relationship Id="rId173" Type="http://schemas.openxmlformats.org/officeDocument/2006/relationships/hyperlink" Target="https://t.me/promonocontext" TargetMode="External"/><Relationship Id="rId194" Type="http://schemas.openxmlformats.org/officeDocument/2006/relationships/hyperlink" Target="https://chat.whatsapp.com/GrIZPFtopk17fKB4ZufzKz?mode=wwt" TargetMode="External"/><Relationship Id="rId208" Type="http://schemas.openxmlformats.org/officeDocument/2006/relationships/hyperlink" Target="https://chat.whatsapp.com/KWch5ygbtG9EDgotXCZ6w6?mode=wwt" TargetMode="External"/><Relationship Id="rId229" Type="http://schemas.openxmlformats.org/officeDocument/2006/relationships/hyperlink" Target="https://chat.whatsapp.com/B7uIXxna6lhJNEGNYLoiXb" TargetMode="External"/><Relationship Id="rId14" Type="http://schemas.openxmlformats.org/officeDocument/2006/relationships/hyperlink" Target="https://chat.whatsapp.com/DlJ8XtPlZ9i2oAJMo1EXnW?mode=ems_copy_t" TargetMode="External"/><Relationship Id="rId35" Type="http://schemas.openxmlformats.org/officeDocument/2006/relationships/hyperlink" Target="https://chat.whatsapp.com/Bye3jMn7cOa7YkeymQIZIC?mode=wwt" TargetMode="External"/><Relationship Id="rId56" Type="http://schemas.openxmlformats.org/officeDocument/2006/relationships/hyperlink" Target="http://app.gruposinteligentes.com/r/achadosdaccarol" TargetMode="External"/><Relationship Id="rId77" Type="http://schemas.openxmlformats.org/officeDocument/2006/relationships/hyperlink" Target="https://chat.whatsapp.com/DXBvkZJkQLdBQpxymvWKSG" TargetMode="External"/><Relationship Id="rId100" Type="http://schemas.openxmlformats.org/officeDocument/2006/relationships/hyperlink" Target="https://chat.whatsapp.com/GbdkHTyBqRm9zeMfi4sqfB" TargetMode="External"/><Relationship Id="rId8" Type="http://schemas.openxmlformats.org/officeDocument/2006/relationships/hyperlink" Target="https://sndflw.com/i/grupospromotop" TargetMode="External"/><Relationship Id="rId98" Type="http://schemas.openxmlformats.org/officeDocument/2006/relationships/hyperlink" Target="https://chat.whatsapp.com/EAhvy9yo6On2GYZIeZMJdP" TargetMode="External"/><Relationship Id="rId121" Type="http://schemas.openxmlformats.org/officeDocument/2006/relationships/hyperlink" Target="https://chat.whatsapp.com/LrWXs2jt86p0cwA9m9SOGE?mode=wwc" TargetMode="External"/><Relationship Id="rId142" Type="http://schemas.openxmlformats.org/officeDocument/2006/relationships/hyperlink" Target="https://chat.whatsapp.com/Kj9hC3NiBT77LkygW7nPiX" TargetMode="External"/><Relationship Id="rId163" Type="http://schemas.openxmlformats.org/officeDocument/2006/relationships/hyperlink" Target="https://chat.whatsapp.com/CTjtI84fLp2Kio1vl9qPSQ" TargetMode="External"/><Relationship Id="rId184" Type="http://schemas.openxmlformats.org/officeDocument/2006/relationships/hyperlink" Target="https://chat.whatsapp.com/BSrW73sUxmf7P0k94JjGJR" TargetMode="External"/><Relationship Id="rId219" Type="http://schemas.openxmlformats.org/officeDocument/2006/relationships/hyperlink" Target="https://t.me/sdofertas" TargetMode="External"/><Relationship Id="rId230" Type="http://schemas.openxmlformats.org/officeDocument/2006/relationships/hyperlink" Target="https://chat.whatsapp.com/G8aOJ9GsgtgK0FHC9PHWOJ?fbclid=PAZXh0bgNhZW0CMTEAAacI4MN8e_BfLrOomUzfDK29iJ6dd_Ab-Nm7XKbX0ev2Y9thCvVPf8gTkluGHQ_aem_lNWiofynB7OUCWcClguV-g" TargetMode="External"/><Relationship Id="rId25" Type="http://schemas.openxmlformats.org/officeDocument/2006/relationships/hyperlink" Target="https://chat.whatsapp.com/GMlz11599YTLP3ui9VWgXn?mode=ac_c" TargetMode="External"/><Relationship Id="rId46" Type="http://schemas.openxmlformats.org/officeDocument/2006/relationships/hyperlink" Target="https://chat.whatsapp.com/Kda7wlfxzOj08vWSm42jip" TargetMode="External"/><Relationship Id="rId67" Type="http://schemas.openxmlformats.org/officeDocument/2006/relationships/hyperlink" Target="https://chat.whatsapp.com/Hjr3f7J3jCB5dxUy4DqPpl?mode=wwc" TargetMode="External"/><Relationship Id="rId88" Type="http://schemas.openxmlformats.org/officeDocument/2006/relationships/hyperlink" Target="https://t.me/unboxingnalata" TargetMode="External"/><Relationship Id="rId111" Type="http://schemas.openxmlformats.org/officeDocument/2006/relationships/hyperlink" Target="https://www.whatsapp.com/channel/0029VavQ9i68aKvEJa01Si0s" TargetMode="External"/><Relationship Id="rId132" Type="http://schemas.openxmlformats.org/officeDocument/2006/relationships/hyperlink" Target="https://www.whatsapp.com/channel/0029Vb6pG2SLI8YRMFfFFT2e" TargetMode="External"/><Relationship Id="rId153" Type="http://schemas.openxmlformats.org/officeDocument/2006/relationships/hyperlink" Target="https://chat.whatsapp.com/CULdOiC69HgLZMt7baMbcH?mode=ems_copy_c&amp;fbclid=PAZXh0bgNhZW0CMTEAAacxy92KH0MDVbbXK8_XwuM9ZH7lsKHbF8mNAPYe94i0ST7U-GV0W816YdS-7Q_aem_C3zlgQY2op6bj9sNBwO9pw" TargetMode="External"/><Relationship Id="rId174" Type="http://schemas.openxmlformats.org/officeDocument/2006/relationships/hyperlink" Target="https://chat.whatsapp.com/FOa4DMXBtaG4V8sW20W3rF?fbclid=PAZXh0bgNhZW0CMTEAAadYP5gD-wS1LVkZeqRcfilLz4BYoc7GWjqbixIeCLWRfEh8vpqeKnCf5HRKYw_aem_6WcsIijg5QgGi-vHwnPhOA" TargetMode="External"/><Relationship Id="rId195" Type="http://schemas.openxmlformats.org/officeDocument/2006/relationships/hyperlink" Target="https://chat.whatsapp.com/HeLCNQtFxYMCY8nDpFrPfJ" TargetMode="External"/><Relationship Id="rId209" Type="http://schemas.openxmlformats.org/officeDocument/2006/relationships/hyperlink" Target="https://chat.whatsapp.com/E1ys64DdebhHIJyvES7FhP?mode=ems_copy_t&amp;fbclid=PAZXh0bgNhZW0CMTEAAaffFXq0hS4V6z8WcXIIrPPDum6Zp8jJHU9pypipbw04Y3VqYWnccqcXq6hSkA_aem_3uu-mmjHNH4dGz5qJ7eTXA" TargetMode="External"/><Relationship Id="rId190" Type="http://schemas.openxmlformats.org/officeDocument/2006/relationships/hyperlink" Target="https://chat.whatsapp.com/LuID2lhm3nfKhD3BZtpUxx?fbclid=PAZXh0bgNhZW0CMTEAAad-mhpTvHCtOj7dPPuFQIK_PlwimZS3Z0FWwMKxUasxuSEhFXMJ_PUxjc0Ifg_aem_qFukJyAA5vQ5dt60B_Hx1A" TargetMode="External"/><Relationship Id="rId204" Type="http://schemas.openxmlformats.org/officeDocument/2006/relationships/hyperlink" Target="https://chat.whatsapp.com/BQ7tcRk6loB7roRQgF9SVZ?mode=ems_copy_t&amp;fbclid=PAZXh0bgNhZW0CMTEAAafjiqu7Cv2zhN3eADBwm22E0zIENha0cIp63tUtukYmP-Y4TOQKT24WsQN94A_aem_5J7hytlCCJi1WJyGcIuO1w" TargetMode="External"/><Relationship Id="rId220" Type="http://schemas.openxmlformats.org/officeDocument/2006/relationships/hyperlink" Target="https://chat.whatsapp.com/HZyuiMiv4uQ2FO3LsGhUGJ" TargetMode="External"/><Relationship Id="rId225" Type="http://schemas.openxmlformats.org/officeDocument/2006/relationships/hyperlink" Target="https://chat.whatsapp.com/FDmaefqLyH36zb6NAdZNz8" TargetMode="External"/><Relationship Id="rId15" Type="http://schemas.openxmlformats.org/officeDocument/2006/relationships/hyperlink" Target="https://app.gruposinteligentes.com/r/vigiadeofertinhas" TargetMode="External"/><Relationship Id="rId36" Type="http://schemas.openxmlformats.org/officeDocument/2006/relationships/hyperlink" Target="https://chat.whatsapp.com/GANhutgr55J95N65Xb6Lk3" TargetMode="External"/><Relationship Id="rId57" Type="http://schemas.openxmlformats.org/officeDocument/2006/relationships/hyperlink" Target="https://chat.whatsapp.com/GUgEwbuk86aJDdyJfLsSQ3" TargetMode="External"/><Relationship Id="rId106" Type="http://schemas.openxmlformats.org/officeDocument/2006/relationships/hyperlink" Target="https://chat.whatsapp.com/LFxnhypmd5BDGFgneCPrkE" TargetMode="External"/><Relationship Id="rId127" Type="http://schemas.openxmlformats.org/officeDocument/2006/relationships/hyperlink" Target="https://chat.whatsapp.com/KNKw7EZNadrK0rFxvYnO0u" TargetMode="External"/><Relationship Id="rId10" Type="http://schemas.openxmlformats.org/officeDocument/2006/relationships/hyperlink" Target="https://chat.whatsapp.com/Itr0HHBK6I7Gwt1oJ7FyUy?mode=wwc" TargetMode="External"/><Relationship Id="rId31" Type="http://schemas.openxmlformats.org/officeDocument/2006/relationships/hyperlink" Target="https://chat.whatsapp.com/D0ihIeknxF8DivVxNdXMT8?fbclid=PAZXh0bgNhZW0CMTEAAaddYVsUtOAV-lCAIjFcrVGYDRd0ffv4U7ll06YiNQnpPYGAXvjY5JCejJeu5A_aem_JO83a-2tN29bAqGOOEqeeQ" TargetMode="External"/><Relationship Id="rId52" Type="http://schemas.openxmlformats.org/officeDocument/2006/relationships/hyperlink" Target="https://chat.whatsapp.com/HWIR8cXLwCf4MelCkHpGz3" TargetMode="External"/><Relationship Id="rId73" Type="http://schemas.openxmlformats.org/officeDocument/2006/relationships/hyperlink" Target="https://chat.whatsapp.com/Fspc3uykwrOKs5wDwPvsSW" TargetMode="External"/><Relationship Id="rId78" Type="http://schemas.openxmlformats.org/officeDocument/2006/relationships/hyperlink" Target="https://chat.whatsapp.com/FZrN7heaxV2An8cVqgxtkO?fbclid=PAZXh0bgNhZW0CMTEAAaflgn2gOCTXCcEHH4_tQL7lMMckMzhuM5FPOf14CAQR0eTGTYOd0Zta-OnVcA_aem_Hwdvk-eCNwmrFMGybRresw" TargetMode="External"/><Relationship Id="rId94" Type="http://schemas.openxmlformats.org/officeDocument/2006/relationships/hyperlink" Target="https://www.whatsapp.com/channel/0029Va7jECnCcW4tZ15e8v1v" TargetMode="External"/><Relationship Id="rId99" Type="http://schemas.openxmlformats.org/officeDocument/2006/relationships/hyperlink" Target="https://chat.whatsapp.com/IyJYqH1gXxAJ3IDAd6GBrf" TargetMode="External"/><Relationship Id="rId101" Type="http://schemas.openxmlformats.org/officeDocument/2006/relationships/hyperlink" Target="https://www.whatsapp.com/channel/0029Va8GkBr5fM5iaPVX0c28" TargetMode="External"/><Relationship Id="rId122" Type="http://schemas.openxmlformats.org/officeDocument/2006/relationships/hyperlink" Target="https://chat.whatsapp.com/Et7TUni8qau1CB1v63QDTk?fbclid=PAZXh0bgNhZW0CMTEAAadNvhRlmB0Y6OiUEV3lYuJX_wulJhRMArpIp0BKQYqXUqsoaIjN1Go0T5r30g_aem_SwNOONH9q2vj8cZIBGoWWQ" TargetMode="External"/><Relationship Id="rId143" Type="http://schemas.openxmlformats.org/officeDocument/2006/relationships/hyperlink" Target="https://chat.whatsapp.com/8cao38VPYLDBKLMqOPjoA0" TargetMode="External"/><Relationship Id="rId148" Type="http://schemas.openxmlformats.org/officeDocument/2006/relationships/hyperlink" Target="https://chat.whatsapp.com/BLEQ9LQyRqnHpZ2bVWmBeT" TargetMode="External"/><Relationship Id="rId164" Type="http://schemas.openxmlformats.org/officeDocument/2006/relationships/hyperlink" Target="https://chat.whatsapp.com/L4LNpfPZUqH05ouyae0Yri" TargetMode="External"/><Relationship Id="rId169" Type="http://schemas.openxmlformats.org/officeDocument/2006/relationships/hyperlink" Target="https://chat.whatsapp.com/El2R6H8UEU90utKzg0M9eB" TargetMode="External"/><Relationship Id="rId185" Type="http://schemas.openxmlformats.org/officeDocument/2006/relationships/hyperlink" Target="https://chat.whatsapp.com/KsFIKs4bknu8bVy0xEQQq0" TargetMode="External"/><Relationship Id="rId4" Type="http://schemas.openxmlformats.org/officeDocument/2006/relationships/hyperlink" Target="https://chat.whatsapp.com/FYshNVla9hcBWbSoIwfGm3" TargetMode="External"/><Relationship Id="rId9" Type="http://schemas.openxmlformats.org/officeDocument/2006/relationships/hyperlink" Target="http://l.instagram.com/?u=https%3A%2F%2Fwhatsapp.com%2Fchannel%2F0029Vb6XAspJ3juxxcp3UH1i%3Ffbclid%3DPAZXh0bgNhZW0CMTEAAadBdK77zRWg5sZktionHSexH5za-rLvFztWXI3mhVIBOTXbG2kRXJWPnC65VQ_aem_ke8foGBPJza_P58nBxfqqg&amp;e=AT10GY-UGrn6D2i2SinDN0XgE7irReo8I-g3uQY097DN-WeG7aoFXDZopMQ0OwgnczwdqC8il0xWCJUkQDB1U0YEBdUUeir4QcCgDOg9xg" TargetMode="External"/><Relationship Id="rId180" Type="http://schemas.openxmlformats.org/officeDocument/2006/relationships/hyperlink" Target="https://chat.whatsapp.com/Ja8pGApMAuL5wQKhC2isyI?mode=wwt&amp;fbclid=PAZXh0bgNhZW0CMTEAAaf4zFg2e2kuAv3bbWCDbtj0FGOh4LHPp-ZieGis6-VfPYZzseeRy1rTXMP44w_aem_2CyEZQVSdL33KNgPj8KUsw" TargetMode="External"/><Relationship Id="rId210" Type="http://schemas.openxmlformats.org/officeDocument/2006/relationships/hyperlink" Target="https://t.me/joinchat/SB5lcH6BMPsUdsBb" TargetMode="External"/><Relationship Id="rId215" Type="http://schemas.openxmlformats.org/officeDocument/2006/relationships/hyperlink" Target="https://chat.whatsapp.com/Bilt1HIkKufE4zmWKdAh0m" TargetMode="External"/><Relationship Id="rId236" Type="http://schemas.openxmlformats.org/officeDocument/2006/relationships/hyperlink" Target="https://api.whatsapp.com/send/?phone=5511963772117&amp;text=Ol%C3%A1%2C+vi+o+perfil+da+Carol+Guimar%C3%A3es+e+gostaria+de+fazer+um+or%C3%A7amento&amp;type=phone_number&amp;app_absent=0" TargetMode="External"/><Relationship Id="rId26" Type="http://schemas.openxmlformats.org/officeDocument/2006/relationships/hyperlink" Target="https://chat.whatsapp.com/LOK7ys7CuZKAiBBuon1drt?mode=wwt&amp;fbclid=PAZXh0bgNhZW0CMTEAAafuf3L3ZqWFJaFn2q6Cr0y8tauqiewpKn2Ew1LYql1orhhiog7KXYIzmzC6zg_aem_FR7-ZL8jX8YeWgbTAH9yRg" TargetMode="External"/><Relationship Id="rId231" Type="http://schemas.openxmlformats.org/officeDocument/2006/relationships/hyperlink" Target="https://chat.whatsapp.com/CeOajup9Rsh26ROElCeer0?fbclid=PAZXh0bgNhZW0CMTEAAaenBo5VqOk-Xh8h7d4AvpzHnMFd2BqFjMcPFEkfxtx4C7ctQ9PUaNKOEKRw9Q_aem_3fJQuohk15fPVEHuNjBTSA" TargetMode="External"/><Relationship Id="rId47" Type="http://schemas.openxmlformats.org/officeDocument/2006/relationships/hyperlink" Target="https://www.whatsapp.com/channel/0029VajMO5Y4Crfd9sUv321p" TargetMode="External"/><Relationship Id="rId68" Type="http://schemas.openxmlformats.org/officeDocument/2006/relationships/hyperlink" Target="https://chat.whatsapp.com/FBdHps1zuMO6gkstqu6jfT" TargetMode="External"/><Relationship Id="rId89" Type="http://schemas.openxmlformats.org/officeDocument/2006/relationships/hyperlink" Target="https://chat.whatsapp.com/ESRK7K8eTez9n4tsWi8Ca3?mode=wwc" TargetMode="External"/><Relationship Id="rId112" Type="http://schemas.openxmlformats.org/officeDocument/2006/relationships/hyperlink" Target="https://chat.whatsapp.com/Jtzve7J0p4iHcq4p9dSJnE?mode=ems_wa_t" TargetMode="External"/><Relationship Id="rId133" Type="http://schemas.openxmlformats.org/officeDocument/2006/relationships/hyperlink" Target="https://chat.whatsapp.com/H6Ifwzn9NNA7GYBGdgD1lt?mode=wwc&amp;fbclid=PAZXh0bgNhZW0CMTEAAae9DLAmGPQI5lKWR2Gr8mfsniySC52IWgxm8c1sxa5Kuoq1f_o1kg386B8P8g_aem_2KzAX6jZKtoRMwV3rhh3DQ" TargetMode="External"/><Relationship Id="rId154" Type="http://schemas.openxmlformats.org/officeDocument/2006/relationships/hyperlink" Target="https://chat.whatsapp.com/3AojlMVOnTx5aanIu9xATd" TargetMode="External"/><Relationship Id="rId175" Type="http://schemas.openxmlformats.org/officeDocument/2006/relationships/hyperlink" Target="https://chat.whatsapp.com/GXzxLoVvmxz0udKGWn1ENL" TargetMode="External"/><Relationship Id="rId196" Type="http://schemas.openxmlformats.org/officeDocument/2006/relationships/hyperlink" Target="https://chat.whatsapp.com/I082dejhGUl6Hii1TUdzN2" TargetMode="External"/><Relationship Id="rId200" Type="http://schemas.openxmlformats.org/officeDocument/2006/relationships/hyperlink" Target="https://chat.whatsapp.com/CmXGTqAJ36ECTWdfZ8UCvw?mode=ems_copy_c" TargetMode="External"/><Relationship Id="rId16" Type="http://schemas.openxmlformats.org/officeDocument/2006/relationships/hyperlink" Target="https://chat.whatsapp.com/EexXms38M3O3yhSsIcmc6r" TargetMode="External"/><Relationship Id="rId221" Type="http://schemas.openxmlformats.org/officeDocument/2006/relationships/hyperlink" Target="https://chat.whatsapp.com/HZyuiMiv4uQ2FO3LsGhUGJ" TargetMode="External"/><Relationship Id="rId37" Type="http://schemas.openxmlformats.org/officeDocument/2006/relationships/hyperlink" Target="https://chat.whatsapp.com/D6vTMhtpTji4R4oJ1oBcB2" TargetMode="External"/><Relationship Id="rId58" Type="http://schemas.openxmlformats.org/officeDocument/2006/relationships/hyperlink" Target="https://chat.whatsapp.com/BZpAuh2smnSBgAMWUIr8it" TargetMode="External"/><Relationship Id="rId79" Type="http://schemas.openxmlformats.org/officeDocument/2006/relationships/hyperlink" Target="https://chat.whatsapp.com/JD7FxqCc7lC71BZ6PgsuTy" TargetMode="External"/><Relationship Id="rId102" Type="http://schemas.openxmlformats.org/officeDocument/2006/relationships/hyperlink" Target="https://chat.whatsapp.com/LGcaf2hLrGTA4xmoOKbScu?fbclid=PAZXh0bgNhZW0CMTEAAadKbAjrvtlt93Z1vU8QqLZ7y55BzKHdOZcK8M9InBjmI9234jyRwnhBOLysRg_aem_O91CVD30ELOHuxLipW0DSw" TargetMode="External"/><Relationship Id="rId123" Type="http://schemas.openxmlformats.org/officeDocument/2006/relationships/hyperlink" Target="https://www.whatsapp.com/channel/0029Vakbd7m3rZZiNBpvhU0y?fbclid=PAZXh0bgNhZW0CMTEAAadRoFB1lGAiKESfwQlUJ-m2t_FwLtzk8szwtEZ0J5GfO1O0VR1aebkj5ZyIEA_aem_9x5FgWZ-VHWgJMEkL7G7GA" TargetMode="External"/><Relationship Id="rId144" Type="http://schemas.openxmlformats.org/officeDocument/2006/relationships/hyperlink" Target="https://chat.whatsapp.com/D3gyYuH0Y0q82aNWRXdQ6i?fbclid=PAZXh0bgNhZW0CMTEAAafgUvBBwrIwwfWkvYGXtxUtr1emnN2cGgzICAHFmbInCGw7Xd9yjbRQicb7oQ_aem_62gMHOWgd9dyDnLQ1MWFaw" TargetMode="External"/><Relationship Id="rId90" Type="http://schemas.openxmlformats.org/officeDocument/2006/relationships/hyperlink" Target="https://chat.whatsapp.com/BphOj310T5a9h7yZ3I9a8l" TargetMode="External"/><Relationship Id="rId165" Type="http://schemas.openxmlformats.org/officeDocument/2006/relationships/hyperlink" Target="https://chat.whatsapp.com/Lf0hxVaeCxNDBvw2ydy6PV" TargetMode="External"/><Relationship Id="rId186" Type="http://schemas.openxmlformats.org/officeDocument/2006/relationships/hyperlink" Target="https://chat.whatsapp.com/IztSV778zEV1Km200kyq3M?mode=ems_copy_t" TargetMode="External"/><Relationship Id="rId211" Type="http://schemas.openxmlformats.org/officeDocument/2006/relationships/hyperlink" Target="https://chat.whatsapp.com/HHGjJ39EGjP1E3Xvcyo287" TargetMode="External"/><Relationship Id="rId232" Type="http://schemas.openxmlformats.org/officeDocument/2006/relationships/hyperlink" Target="https://chat.whatsapp.com/JT8aIzL4HNQD8N9899WpqW?mode=r_t&amp;fbclid=PAZXh0bgNhZW0CMTEAAad5mCbSUZl3HYU_5cwgqwQdZn16ow_DUCQYkMnZ8dZVm0KcFVI54OOvTSsLeA_aem_jsGqLssFi0ptvXBVFCejCw" TargetMode="External"/><Relationship Id="rId27" Type="http://schemas.openxmlformats.org/officeDocument/2006/relationships/hyperlink" Target="https://chat.whatsapp.com/LKNq5b7IVGL0B89W4fKuLF?mode=ems_copy_t" TargetMode="External"/><Relationship Id="rId48" Type="http://schemas.openxmlformats.org/officeDocument/2006/relationships/hyperlink" Target="https://www.whatsapp.com/channel/0029VaIymKi1HspyoimWMj1b" TargetMode="External"/><Relationship Id="rId69" Type="http://schemas.openxmlformats.org/officeDocument/2006/relationships/hyperlink" Target="https://chat.whatsapp.com/K0Qvrw74bqdAi0FysJANr5?fbclid=PAZXh0bgNhZW0CMTEAAadTzPHs-UCqEfxaXrjSFbyF7rO5j1w9q5QyAPrpV7RX82CRIk4ea0BTNNbg4A_aem_shDqRg-bVPp7dQdv1KmijQ" TargetMode="External"/><Relationship Id="rId113" Type="http://schemas.openxmlformats.org/officeDocument/2006/relationships/hyperlink" Target="https://chat.whatsapp.com/FbKBDOYaZIWKupUmuw0nsQ" TargetMode="External"/><Relationship Id="rId134" Type="http://schemas.openxmlformats.org/officeDocument/2006/relationships/hyperlink" Target="https://chat.whatsapp.com/DCxjP81VSPYBL6Gxv9H52C" TargetMode="External"/><Relationship Id="rId80" Type="http://schemas.openxmlformats.org/officeDocument/2006/relationships/hyperlink" Target="https://chat.whatsapp.com/KD3HqqR0Kz6EHM6tSuTrLx" TargetMode="External"/><Relationship Id="rId155" Type="http://schemas.openxmlformats.org/officeDocument/2006/relationships/hyperlink" Target="https://chat.whatsapp.com/FPAfltA8alqBFThYVQZV2o" TargetMode="External"/><Relationship Id="rId176" Type="http://schemas.openxmlformats.org/officeDocument/2006/relationships/hyperlink" Target="https://chat.whatsapp.com/EY60g2bvKUQ3vTw7m8p51y" TargetMode="External"/><Relationship Id="rId197" Type="http://schemas.openxmlformats.org/officeDocument/2006/relationships/hyperlink" Target="https://chat.whatsapp.com/CxuUhB4Rw2KC7MWHnm8cBo" TargetMode="External"/><Relationship Id="rId201" Type="http://schemas.openxmlformats.org/officeDocument/2006/relationships/hyperlink" Target="https://chat.whatsapp.com/JR9FChkNN4m90N5qGyDFzV?fbclid=PAZXh0bgNhZW0CMTEAAaeVyFZGtGjGNb7E2ysOykp5YDrX2D9_0qvrh8ScCdjk50uBVkJgTie7G5JEPw_aem_KdvwTMiVpojhRSX4sOUqGg" TargetMode="External"/><Relationship Id="rId222" Type="http://schemas.openxmlformats.org/officeDocument/2006/relationships/hyperlink" Target="https://chat.whatsapp.com/FSOKIotzhXeESsvKFAQCiA?fbclid=PAZXh0bgNhZW0CMTEAAafayNv6Q98oLq7T7mckPOe-0ZXby3578rGZkDd_GWtsZmFwr6mrfc-eu6xVbg_aem_pt7Uh-JpGkO4n57nLXvcfQ" TargetMode="External"/><Relationship Id="rId17" Type="http://schemas.openxmlformats.org/officeDocument/2006/relationships/hyperlink" Target="https://chat.whatsapp.com/LCUCTJLImyO3KzBKfRVZoc" TargetMode="External"/><Relationship Id="rId38" Type="http://schemas.openxmlformats.org/officeDocument/2006/relationships/hyperlink" Target="https://chat.whatsapp.com/HlzrhZslJCZ6YVTSRDI71M?fbclid=PAZXh0bgNhZW0CMTEAAaeHCVvc7x51MYFXyqM5U8Vp142hYcrnX9m3TEYGypZ49CY9XKSMc1l0jIISvQ_aem_SWfxcvpL11OpZOE0WOljRg" TargetMode="External"/><Relationship Id="rId59" Type="http://schemas.openxmlformats.org/officeDocument/2006/relationships/hyperlink" Target="https://chat.whatsapp.com/CMPA3hBbXmSBg7aEoHcdAc" TargetMode="External"/><Relationship Id="rId103" Type="http://schemas.openxmlformats.org/officeDocument/2006/relationships/hyperlink" Target="https://chat.whatsapp.com/GlZbsfe4H0q7GdhETjruhL" TargetMode="External"/><Relationship Id="rId124" Type="http://schemas.openxmlformats.org/officeDocument/2006/relationships/hyperlink" Target="https://www.whatsapp.com/channel/0029VaLa5nXEQIagEO53jy2M" TargetMode="External"/><Relationship Id="rId70" Type="http://schemas.openxmlformats.org/officeDocument/2006/relationships/hyperlink" Target="https://t.me/joinchat/SB5lcH6BMPsUdsBb" TargetMode="External"/><Relationship Id="rId91" Type="http://schemas.openxmlformats.org/officeDocument/2006/relationships/hyperlink" Target="https://chat.whatsapp.com/CFPqGJMJy8J7Zrt1GCkhCF" TargetMode="External"/><Relationship Id="rId145" Type="http://schemas.openxmlformats.org/officeDocument/2006/relationships/hyperlink" Target="https://www.whatsapp.com/channel/0029Vb6KTOB0LKZN2ee2co0y" TargetMode="External"/><Relationship Id="rId166" Type="http://schemas.openxmlformats.org/officeDocument/2006/relationships/hyperlink" Target="https://chat.whatsapp.com/BsIXB2PTOCvEhVMHZ42dem?mode=ac_t&amp;fbclid=PAZXh0bgNhZW0CMTEAAacYhnSjSfwOy2DiAeu_iqGww1AeliNigUWLJV91IfathCT-AO5Xrz67mmDNZw_aem_a1klxB5Fu30alRu2bFSHnQ" TargetMode="External"/><Relationship Id="rId187" Type="http://schemas.openxmlformats.org/officeDocument/2006/relationships/hyperlink" Target="https://www.whatsapp.com/channel/0029VafAapsLikgF9NOsIC0w?fbclid=PAZXh0bgNhZW0CMTEAAaeRVDEDPORicafDtQDbw-3H1wz5rA2EGwGSSGR9xVN2RYOMDh_cO6KdLP9z-Q_aem_MjGKgG0GAwr96MTWxSKodQ" TargetMode="External"/><Relationship Id="rId1" Type="http://schemas.openxmlformats.org/officeDocument/2006/relationships/hyperlink" Target="https://chat.whatsapp.com/LBBRUqRFNeQElNvFBIvGiD" TargetMode="External"/><Relationship Id="rId212" Type="http://schemas.openxmlformats.org/officeDocument/2006/relationships/hyperlink" Target="https://chat.whatsapp.com/L2jFzuhDn6KFSJC9LcQcuU" TargetMode="External"/><Relationship Id="rId233" Type="http://schemas.openxmlformats.org/officeDocument/2006/relationships/hyperlink" Target="https://nlink.at/promosdagisa" TargetMode="External"/><Relationship Id="rId28" Type="http://schemas.openxmlformats.org/officeDocument/2006/relationships/hyperlink" Target="https://chat.whatsapp.com/IDhYoLEzlw1Bs9NocQQB4u" TargetMode="External"/><Relationship Id="rId49" Type="http://schemas.openxmlformats.org/officeDocument/2006/relationships/hyperlink" Target="https://chat.whatsapp.com/JQwNi3BDg6cK3R3qIGxL0n?mode=wwc" TargetMode="External"/><Relationship Id="rId114" Type="http://schemas.openxmlformats.org/officeDocument/2006/relationships/hyperlink" Target="https://chat.whatsapp.com/GotYoYy1r6zAJ8YYtk82qe?mode=ac_t&amp;fbclid=PAZXh0bgNhZW0CMTEAAadMWMagcqJdIYmZJSZ4R8GFjSVIPidZOKegyRWCrH6fm-LAmUjxYNzdfGsgNg_aem_6Rd6CcTSu1qnnloj1lOpOA" TargetMode="External"/><Relationship Id="rId60" Type="http://schemas.openxmlformats.org/officeDocument/2006/relationships/hyperlink" Target="https://chat.whatsapp.com/JHaBQhjiioN4q54FVbHTv0" TargetMode="External"/><Relationship Id="rId81" Type="http://schemas.openxmlformats.org/officeDocument/2006/relationships/hyperlink" Target="https://chat.whatsapp.com/FWwlSLSUrFDBeoHSiEHFKs" TargetMode="External"/><Relationship Id="rId135" Type="http://schemas.openxmlformats.org/officeDocument/2006/relationships/hyperlink" Target="https://chat.whatsapp.com/C66THFmOr0eLheskj0llLl" TargetMode="External"/><Relationship Id="rId156" Type="http://schemas.openxmlformats.org/officeDocument/2006/relationships/hyperlink" Target="https://chat.whatsapp.com/KEXRU3sjoBu4782by95BnV?mode=ems_copy_t&amp;fbclid=PAZXh0bgNhZW0CMTEAAac-KlcpOQh3hzjdv1x4nvOUF-xFyzIQKhsGzt-QhX8wbDiVaJhAeVEAVQmIZg_aem_Zr6vR6U3XCD4umFwb3g24A" TargetMode="External"/><Relationship Id="rId177" Type="http://schemas.openxmlformats.org/officeDocument/2006/relationships/hyperlink" Target="https://chat.whatsapp.com/G8aLNHaHaOHAtAi6oBoEbx" TargetMode="External"/><Relationship Id="rId198" Type="http://schemas.openxmlformats.org/officeDocument/2006/relationships/hyperlink" Target="https://chat.whatsapp.com/ByQVh3GaWwmCdBF6hfDY8B?mode=wwc&amp;fbclid=PAZXh0bgNhZW0CMTEAAacaye7vT7DoZD_zxBnsKQlHEvJfpcdW8W0ev1Ql6wzEWZVYbQtPa6OkIuCyWQ_aem_ZkYshf_dOnd2JtvSs0Nk4Q" TargetMode="External"/><Relationship Id="rId202" Type="http://schemas.openxmlformats.org/officeDocument/2006/relationships/hyperlink" Target="https://chat.whatsapp.com/J1D6HRAuIx62u62O3QWn8e" TargetMode="External"/><Relationship Id="rId223" Type="http://schemas.openxmlformats.org/officeDocument/2006/relationships/hyperlink" Target="https://chat.whatsapp.com/LikseXVR6JA8NmMJ7eB5gc" TargetMode="External"/><Relationship Id="rId18" Type="http://schemas.openxmlformats.org/officeDocument/2006/relationships/hyperlink" Target="https://www.whatsapp.com/channel/0029VanwKdI3AzNSZMVS4b2z?fbclid=PAZXh0bgNhZW0CMTEAAafRGT9holVSEijHNMYVX48jo14hucpYjJGE4WvXrK1ZdI17J6lXPh1WjCjlGA_aem_3xPAn8F-j_EcfexNrM8ZAg" TargetMode="External"/><Relationship Id="rId39" Type="http://schemas.openxmlformats.org/officeDocument/2006/relationships/hyperlink" Target="https://chat.whatsapp.com/DSeLEmy3Ccg2cQIQu0PZIg" TargetMode="External"/><Relationship Id="rId50" Type="http://schemas.openxmlformats.org/officeDocument/2006/relationships/hyperlink" Target="https://www.whatsapp.com/channel/0029VaAWMTOLo4hfUT0CXV2t" TargetMode="External"/><Relationship Id="rId104" Type="http://schemas.openxmlformats.org/officeDocument/2006/relationships/hyperlink" Target="https://www.whatsapp.com/channel/0029Va9pNUS1dAwAOtvz6v1E?fbclid=PAZXh0bgNhZW0CMTEAAaf4FoshT4jcqI7J6cwucWECCPlf9FAWL2lHmz7blprEKGeI-sYqNSDkhcHu7A_aem_x2jC5XheKLZAvrnKeEPw0Q" TargetMode="External"/><Relationship Id="rId125" Type="http://schemas.openxmlformats.org/officeDocument/2006/relationships/hyperlink" Target="https://chat.whatsapp.com/GcedDTYaqmWDRC2xsHRuS8" TargetMode="External"/><Relationship Id="rId146" Type="http://schemas.openxmlformats.org/officeDocument/2006/relationships/hyperlink" Target="https://chat.whatsapp.com/IglXEIKL0X6Fco4ika2iz5" TargetMode="External"/><Relationship Id="rId167" Type="http://schemas.openxmlformats.org/officeDocument/2006/relationships/hyperlink" Target="https://chat.whatsapp.com/KLZdjjmDJarKOMcowCcajh" TargetMode="External"/><Relationship Id="rId188" Type="http://schemas.openxmlformats.org/officeDocument/2006/relationships/hyperlink" Target="https://chat.whatsapp.com/Evbu0eA6aGDGIustairn0X?mode=ems_copy_t" TargetMode="External"/><Relationship Id="rId71" Type="http://schemas.openxmlformats.org/officeDocument/2006/relationships/hyperlink" Target="https://www.whatsapp.com/channel/0029VaAjS53B4hdTFeuFFj21" TargetMode="External"/><Relationship Id="rId92" Type="http://schemas.openxmlformats.org/officeDocument/2006/relationships/hyperlink" Target="https://chat.whatsapp.com/J2sN803vT9cCnfPNtWYmhM" TargetMode="External"/><Relationship Id="rId213" Type="http://schemas.openxmlformats.org/officeDocument/2006/relationships/hyperlink" Target="https://chat.whatsapp.com/Frx0bqhRtxb9gDELL5tS1T" TargetMode="External"/><Relationship Id="rId234" Type="http://schemas.openxmlformats.org/officeDocument/2006/relationships/hyperlink" Target="https://t.me/eraumacasamuito" TargetMode="External"/><Relationship Id="rId2" Type="http://schemas.openxmlformats.org/officeDocument/2006/relationships/hyperlink" Target="https://chat.whatsapp.com/IR0gCURtqgZAJGne6meFbh" TargetMode="External"/><Relationship Id="rId29" Type="http://schemas.openxmlformats.org/officeDocument/2006/relationships/hyperlink" Target="https://chat.whatsapp.com/JAv9DaNWBSLA25LqoC9YI3?mode=wwt" TargetMode="External"/><Relationship Id="rId40" Type="http://schemas.openxmlformats.org/officeDocument/2006/relationships/hyperlink" Target="https://chat.whatsapp.com/JMfX31vfU1BBh6cf7R0Uqo" TargetMode="External"/><Relationship Id="rId115" Type="http://schemas.openxmlformats.org/officeDocument/2006/relationships/hyperlink" Target="https://chat.whatsapp.com/EzsDwzVMrKiHt0xXqPPoRJ" TargetMode="External"/><Relationship Id="rId136" Type="http://schemas.openxmlformats.org/officeDocument/2006/relationships/hyperlink" Target="https://chat.whatsapp.com/KUZStrTHW8n6ITKXFfcCeL" TargetMode="External"/><Relationship Id="rId157" Type="http://schemas.openxmlformats.org/officeDocument/2006/relationships/hyperlink" Target="https://chat.whatsapp.com/DmxglF40thWBUnTSAxgq9m?mode=ac_t" TargetMode="External"/><Relationship Id="rId178" Type="http://schemas.openxmlformats.org/officeDocument/2006/relationships/hyperlink" Target="https://t.me/promocaozinha?utm_medium=social&amp;utm_source=linktree&amp;utm_campaign=canal+no+telegram+" TargetMode="External"/><Relationship Id="rId61" Type="http://schemas.openxmlformats.org/officeDocument/2006/relationships/hyperlink" Target="https://t.me/outletblackfriday?fbclid=PAZXh0bgNhZW0CMTEAAac47Msicc8FXyO3GJEJp7W7OpkgNlER3DQHosVikFjue5nnEBRylCDqCn4shg_aem_6FHXolLGMvNQDjPKiROTIw" TargetMode="External"/><Relationship Id="rId82" Type="http://schemas.openxmlformats.org/officeDocument/2006/relationships/hyperlink" Target="https://chat.whatsapp.com/BDO3Mirgc7xFReDJ9QxZ82" TargetMode="External"/><Relationship Id="rId199" Type="http://schemas.openxmlformats.org/officeDocument/2006/relationships/hyperlink" Target="https://chat.whatsapp.com/HBhNHpzpK6UH5Ocn99n1kW?fbclid=PAZXh0bgNhZW0CMTEAAacHHwy7lFR3bJC4RckCfexIMyW7UwLKFnKvp7zdbfp4kB6Jd1f1CHhIE1M70w_aem_uG_P-6HRoQrx1v9n38Wemg" TargetMode="External"/><Relationship Id="rId203" Type="http://schemas.openxmlformats.org/officeDocument/2006/relationships/hyperlink" Target="https://chat.whatsapp.com/EUasLaQCNghLLTZeVohIb2" TargetMode="External"/><Relationship Id="rId19" Type="http://schemas.openxmlformats.org/officeDocument/2006/relationships/hyperlink" Target="https://chat.whatsapp.com/HD3hBHCntvUCYL109WfhJH" TargetMode="External"/><Relationship Id="rId224" Type="http://schemas.openxmlformats.org/officeDocument/2006/relationships/hyperlink" Target="https://chat.whatsapp.com/FlP2dqy76C3HDxui5Q4zr9?fbclid=PAZXh0bgNhZW0CMTEAAaceyofGitqyXJs8knpO6XaciB8y5-fwjRIIHqdx_zAlKPn2c5Ac5UhfCPHZuQ_aem_pHPIiGS1YumNyYKZt3WBJw" TargetMode="External"/><Relationship Id="rId30" Type="http://schemas.openxmlformats.org/officeDocument/2006/relationships/hyperlink" Target="https://chat.whatsapp.com/D6eBFtbGbNW382vxea0zio" TargetMode="External"/><Relationship Id="rId105" Type="http://schemas.openxmlformats.org/officeDocument/2006/relationships/hyperlink" Target="https://chat.whatsapp.com/HkZ6ShSsbeg1gQ2JBPo9Vs?fbclid=PAZXh0bgNhZW0CMTEAAaf9MTtDTajtcKqfeXh4kRc33Me85ugZLxZrmV-4w1mxRdti5aZXx3G9yQNOsw_aem_CjJmyhj6IpZRdi-wAtd8-g" TargetMode="External"/><Relationship Id="rId126" Type="http://schemas.openxmlformats.org/officeDocument/2006/relationships/hyperlink" Target="https://chat.whatsapp.com/L1sC7x9NRND6v2T4IVXowY" TargetMode="External"/><Relationship Id="rId147" Type="http://schemas.openxmlformats.org/officeDocument/2006/relationships/hyperlink" Target="https://chat.whatsapp.com/IiCMiBV6jR5HbYdFh1fAp1" TargetMode="External"/><Relationship Id="rId168" Type="http://schemas.openxmlformats.org/officeDocument/2006/relationships/hyperlink" Target="https://chat.whatsapp.com/K4c5fmtzSXG1qKxnBs3fs2" TargetMode="External"/><Relationship Id="rId51" Type="http://schemas.openxmlformats.org/officeDocument/2006/relationships/hyperlink" Target="https://www.whatsapp.com/channel/0029Vb6EHc1KmCPTwxvrbT10" TargetMode="External"/><Relationship Id="rId72" Type="http://schemas.openxmlformats.org/officeDocument/2006/relationships/hyperlink" Target="https://chat.whatsapp.com/HXoaeZGoCA1Bdp7Gs4VIkq" TargetMode="External"/><Relationship Id="rId93" Type="http://schemas.openxmlformats.org/officeDocument/2006/relationships/hyperlink" Target="https://chat.whatsapp.com/HEi2otzaI1E8NVJDxyFBNo?mode=ems_copy_t" TargetMode="External"/><Relationship Id="rId189" Type="http://schemas.openxmlformats.org/officeDocument/2006/relationships/hyperlink" Target="https://chat.whatsapp.com/CLsmnQK13dGCCWOlIJ3kbg?mode=wwt&amp;fbclid=PAZXh0bgNhZW0CMTEAAad095Qfkva47rG3wxU6FQkkkdgLwun5GAhg884odIKNKIhxqVLs3E8R4A2lmg_aem_3rrWIjP6y3UxSnqW6WSz5w" TargetMode="External"/><Relationship Id="rId3" Type="http://schemas.openxmlformats.org/officeDocument/2006/relationships/hyperlink" Target="https://www.whatsapp.com/channel/0029VamngXq6xCSIPEEtlw01" TargetMode="External"/><Relationship Id="rId214" Type="http://schemas.openxmlformats.org/officeDocument/2006/relationships/hyperlink" Target="https://chat.whatsapp.com/KRlEAzC5E21JqQT9fzqru6?fbclid=PAZXh0bgNhZW0CMTEAAaeEeqceGq0Wl8M1WwCjrorcB40loFQ8_NsyhsxeR_kK5l2fh-rMFMBTOQ8H5Q_aem_Iog_0EKAELL9RBXjrkLWBQ" TargetMode="External"/><Relationship Id="rId235" Type="http://schemas.openxmlformats.org/officeDocument/2006/relationships/hyperlink" Target="https://curt.link/grupovipdeofertas" TargetMode="External"/><Relationship Id="rId116" Type="http://schemas.openxmlformats.org/officeDocument/2006/relationships/hyperlink" Target="https://chat.whatsapp.com/IMOcURMw4WtDUkLzbidJI8" TargetMode="External"/><Relationship Id="rId137" Type="http://schemas.openxmlformats.org/officeDocument/2006/relationships/hyperlink" Target="https://chat.whatsapp.com/Ej9Le27nnVJFwMi7HsDgkt" TargetMode="External"/><Relationship Id="rId158" Type="http://schemas.openxmlformats.org/officeDocument/2006/relationships/hyperlink" Target="https://www.whatsapp.com/channel/0029VaPgpJ2C1Fu2ofsCSu0f" TargetMode="External"/><Relationship Id="rId20" Type="http://schemas.openxmlformats.org/officeDocument/2006/relationships/hyperlink" Target="https://chat.whatsapp.com/BT7Z2GIyRfq100xBXrb7Dc?mode=ac_c&amp;fbclid=PAZXh0bgNhZW0CMTEAAacVKS0RTVh1vL68sXO9-Cc6cX16yY3coG9lClLRNoyDAjZdlSZYm4MDSUapMg_aem_77Lpb6bZ1EYK2OKlgnnYRA" TargetMode="External"/><Relationship Id="rId41" Type="http://schemas.openxmlformats.org/officeDocument/2006/relationships/hyperlink" Target="https://chat.whatsapp.com/DFpRm2RkKfFGpYfqLxWcAo" TargetMode="External"/><Relationship Id="rId62" Type="http://schemas.openxmlformats.org/officeDocument/2006/relationships/hyperlink" Target="https://t.me/economizanderson?fbclid=PAZXh0bgNhZW0CMTEAAaef6d27dw2ja87QTtQO_MnMQVpnvTWC5XNp7DI3yRcBqkCTEbNwFlDejv1mCg_aem_HUyi1kmKQpZ1Kp3U_gcqJQ" TargetMode="External"/><Relationship Id="rId83" Type="http://schemas.openxmlformats.org/officeDocument/2006/relationships/hyperlink" Target="https://chat.whatsapp.com/Db4BoPO9UqOKZkIx59xKiT?fbclid=PAZXh0bgNhZW0CMTEAAacXAsUaz1cyBlxuWLc9fZwsfkiJsenTyr88j5hFKyHok0eeIW6c3eZQU_g9zQ_aem_Dmy4nL0HwtdvuO4boZzsDQ" TargetMode="External"/><Relationship Id="rId179" Type="http://schemas.openxmlformats.org/officeDocument/2006/relationships/hyperlink" Target="https://chat.whatsapp.com/LAbSIcCGmwx9PCTscLT39s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chat.whatsapp.com/LRjdSDkp9jd6OOLSCwY5Qm" TargetMode="External"/><Relationship Id="rId18" Type="http://schemas.openxmlformats.org/officeDocument/2006/relationships/hyperlink" Target="https://chat.whatsapp.com/JWySm0bg2QjDJwYKymBRAr?mode=wwt" TargetMode="External"/><Relationship Id="rId26" Type="http://schemas.openxmlformats.org/officeDocument/2006/relationships/hyperlink" Target="https://chat.whatsapp.com/GzuMpKwpGqy89P9YL4cu4x?fbclid=PAZXh0bgNhZW0CMTEAAadtVsUG-QmJI9FtehAWBo4gBDhfKLcva3fXquMK1HL2EKTrPPso_iZwcw83BA_aem_5eHhxYVaRpg-LB_H71RvZg" TargetMode="External"/><Relationship Id="rId39" Type="http://schemas.openxmlformats.org/officeDocument/2006/relationships/hyperlink" Target="https://www.whatsapp.com/channel/0029VaklNp8K5cDK9b5V5L0l" TargetMode="External"/><Relationship Id="rId21" Type="http://schemas.openxmlformats.org/officeDocument/2006/relationships/hyperlink" Target="https://t.me/mastertechjr?fbclid=PAZXh0bgNhZW0CMTEAAaewxnUciKJdSe5Wco9fLTmBaJM1DHn4eoDmr2swvK0goIkep-9zfI_u-Knyhw_aem_0gcMRKOctBIeWR6jSsQ7RQ" TargetMode="External"/><Relationship Id="rId34" Type="http://schemas.openxmlformats.org/officeDocument/2006/relationships/hyperlink" Target="https://t.me/OlhoNaPROMO" TargetMode="External"/><Relationship Id="rId42" Type="http://schemas.openxmlformats.org/officeDocument/2006/relationships/hyperlink" Target="https://chat.whatsapp.com/JQvT3vKC2vj0CscIGMwjAG?mode=wwt" TargetMode="External"/><Relationship Id="rId7" Type="http://schemas.openxmlformats.org/officeDocument/2006/relationships/hyperlink" Target="https://chat.whatsapp.com/K6CTXebMZ0eJMX8B8uIiA1" TargetMode="External"/><Relationship Id="rId2" Type="http://schemas.openxmlformats.org/officeDocument/2006/relationships/hyperlink" Target="https://t.me/heroidapromo" TargetMode="External"/><Relationship Id="rId16" Type="http://schemas.openxmlformats.org/officeDocument/2006/relationships/hyperlink" Target="https://t.me/fafapromoshorts" TargetMode="External"/><Relationship Id="rId20" Type="http://schemas.openxmlformats.org/officeDocument/2006/relationships/hyperlink" Target="https://www.whatsapp.com/channel/0029Va9QFJGICVfkJA730514" TargetMode="External"/><Relationship Id="rId29" Type="http://schemas.openxmlformats.org/officeDocument/2006/relationships/hyperlink" Target="https://chat.whatsapp.com/Hsn9IVgrwTWBORxZBTmdSe?mode=wwt" TargetMode="External"/><Relationship Id="rId41" Type="http://schemas.openxmlformats.org/officeDocument/2006/relationships/hyperlink" Target="https://chat.whatsapp.com/E4qUixsvh7p5U3oS1RBXrk" TargetMode="External"/><Relationship Id="rId1" Type="http://schemas.openxmlformats.org/officeDocument/2006/relationships/hyperlink" Target="https://www.whatsapp.com/channel/0029VbBuyGKCxoAyO2Utji3k" TargetMode="External"/><Relationship Id="rId6" Type="http://schemas.openxmlformats.org/officeDocument/2006/relationships/hyperlink" Target="https://www.whatsapp.com/channel/0029Va9lrS5GufIu669tIy13" TargetMode="External"/><Relationship Id="rId11" Type="http://schemas.openxmlformats.org/officeDocument/2006/relationships/hyperlink" Target="https://chat.whatsapp.com/DYL3yM8t1Qx5ZIRJR3PUh7?mode=ems_copy_t" TargetMode="External"/><Relationship Id="rId24" Type="http://schemas.openxmlformats.org/officeDocument/2006/relationships/hyperlink" Target="https://www.whatsapp.com/channel/0029VbBJP9aDzgTBmNHBd62p?fbclid=PAZXh0bgNhZW0CMTEAAae32tBkLXNaDzwchmglVLXLDmLa4onLEK6UMw4op25Tx7lTcIryD6JcBRv1UA_aem_AznNWot3JZd5_PmBAUTuNg" TargetMode="External"/><Relationship Id="rId32" Type="http://schemas.openxmlformats.org/officeDocument/2006/relationships/hyperlink" Target="https://chat.whatsapp.com/Hcb23EBqkdo3vYXuuyB8bB?fbclid=PAZXh0bgNhZW0CMTEAAadoR2nM9Yz5VIa_hKSRiNmCnEg4ichC7UL4Cd04m9S8RqZ6hB-s05pfYEyo6w_aem_-lESTKZnYboCxtyqP0CpvA" TargetMode="External"/><Relationship Id="rId37" Type="http://schemas.openxmlformats.org/officeDocument/2006/relationships/hyperlink" Target="https://chat.whatsapp.com/HedUmWn1r3VKHnlZEue8gB?mode=ems_copy_t" TargetMode="External"/><Relationship Id="rId40" Type="http://schemas.openxmlformats.org/officeDocument/2006/relationships/hyperlink" Target="https://chat.whatsapp.com/GOV8P4YrmjZ3nlehN5jDBZ" TargetMode="External"/><Relationship Id="rId5" Type="http://schemas.openxmlformats.org/officeDocument/2006/relationships/hyperlink" Target="https://www.whatsapp.com/channel/0029VaEPqqBDOQIUTTOCMg1l" TargetMode="External"/><Relationship Id="rId15" Type="http://schemas.openxmlformats.org/officeDocument/2006/relationships/hyperlink" Target="https://www.whatsapp.com/channel/0029VaDc0VKATRSg2k5sOb0u" TargetMode="External"/><Relationship Id="rId23" Type="http://schemas.openxmlformats.org/officeDocument/2006/relationships/hyperlink" Target="https://chat.whatsapp.com/IFJMvDHZc2AIYyGqQcEHqt" TargetMode="External"/><Relationship Id="rId28" Type="http://schemas.openxmlformats.org/officeDocument/2006/relationships/hyperlink" Target="https://chat.whatsapp.com/DYO3GUfjbNi6ZLlYEBc0hG" TargetMode="External"/><Relationship Id="rId36" Type="http://schemas.openxmlformats.org/officeDocument/2006/relationships/hyperlink" Target="https://chat.whatsapp.com/HZwM8xn312XFXh711EG8iQ" TargetMode="External"/><Relationship Id="rId10" Type="http://schemas.openxmlformats.org/officeDocument/2006/relationships/hyperlink" Target="https://t.me/lipeofertas" TargetMode="External"/><Relationship Id="rId19" Type="http://schemas.openxmlformats.org/officeDocument/2006/relationships/hyperlink" Target="https://chat.whatsapp.com/J5kJyOeNUjnAOla4kweuk4" TargetMode="External"/><Relationship Id="rId31" Type="http://schemas.openxmlformats.org/officeDocument/2006/relationships/hyperlink" Target="https://www.whatsapp.com/channel/0029VbBZEOzCcW4qg3agqr1H?fbclid=PAZXh0bgNhZW0CMTEAAaeFiwUajifNZ5lSJ33qtqW4O3Ed3OmDUMpe2eW_DFVvenI4Etq-XlhfzEdDcw_aem_5DOqV2dx_s7qAWbX99agvw" TargetMode="External"/><Relationship Id="rId44" Type="http://schemas.openxmlformats.org/officeDocument/2006/relationships/hyperlink" Target="https://chat.whatsapp.com/JG3b8ccRQQtHsNnIwRcvE1" TargetMode="External"/><Relationship Id="rId4" Type="http://schemas.openxmlformats.org/officeDocument/2006/relationships/hyperlink" Target="https://chat.whatsapp.com/DEvLKnMXcn11I4VonM1GbH" TargetMode="External"/><Relationship Id="rId9" Type="http://schemas.openxmlformats.org/officeDocument/2006/relationships/hyperlink" Target="https://chat.whatsapp.com/D5RX0sZReSDISIJG4WsZ38" TargetMode="External"/><Relationship Id="rId14" Type="http://schemas.openxmlformats.org/officeDocument/2006/relationships/hyperlink" Target="https://t.me/santostecpromo?fbclid=PAZXh0bgNhZW0CMTEAAaeVb188JbMikBC-pCWnnB-AVUWx8S9YKjN0MyENCabECnWM-Txqf-BfQBDA5A_aem_3uUYjDnj73qTV1TlZ3lA3A" TargetMode="External"/><Relationship Id="rId22" Type="http://schemas.openxmlformats.org/officeDocument/2006/relationships/hyperlink" Target="https://chat.whatsapp.com/EtM3xhWp5wcFuqkVNdLOL1?mode=ac_t&amp;fbclid=PAZXh0bgNhZW0CMTEAAcvKmLCoRYh1JrXVQa4GIsd0EnkbBnFBQ4AcdQWmNVlGTiH5r-fPAM9WgGJDw_aem_9ZENO9O-OpjiO-ebHt4fdA" TargetMode="External"/><Relationship Id="rId27" Type="http://schemas.openxmlformats.org/officeDocument/2006/relationships/hyperlink" Target="https://chat.whatsapp.com/Gw5saEcajBS8p7yf7rgDvf?mode=wwc" TargetMode="External"/><Relationship Id="rId30" Type="http://schemas.openxmlformats.org/officeDocument/2006/relationships/hyperlink" Target="https://www.whatsapp.com/channel/0029Va9PbS9Id7nVKzupxn15" TargetMode="External"/><Relationship Id="rId35" Type="http://schemas.openxmlformats.org/officeDocument/2006/relationships/hyperlink" Target="https://t.me/Fraguas84Oficial" TargetMode="External"/><Relationship Id="rId43" Type="http://schemas.openxmlformats.org/officeDocument/2006/relationships/hyperlink" Target="https://chat.whatsapp.com/KbiC4HyAPgZ5c0B4YZtX5N" TargetMode="External"/><Relationship Id="rId8" Type="http://schemas.openxmlformats.org/officeDocument/2006/relationships/hyperlink" Target="https://www.whatsapp.com/channel/0029Val8yoECHDyoi2TgYt1z" TargetMode="External"/><Relationship Id="rId3" Type="http://schemas.openxmlformats.org/officeDocument/2006/relationships/hyperlink" Target="https://tr.ee/uRb7a25vid" TargetMode="External"/><Relationship Id="rId12" Type="http://schemas.openxmlformats.org/officeDocument/2006/relationships/hyperlink" Target="https://chat.whatsapp.com/Ihx4dPdJUYAAxEmbT1o0Q8" TargetMode="External"/><Relationship Id="rId17" Type="http://schemas.openxmlformats.org/officeDocument/2006/relationships/hyperlink" Target="https://chat.whatsapp.com/Dq1JEvVMkAmJywEcvLbjB8" TargetMode="External"/><Relationship Id="rId25" Type="http://schemas.openxmlformats.org/officeDocument/2006/relationships/hyperlink" Target="https://t.me/LinksBrazil?fbclid=PAZXh0bgNhZW0CMTEAAaeCZzCU7ct0adx3XBcqEzD56i_Y-W9K4JavWSlJnENQoakUhv1Jo7E97niWAQ_aem_nKvEHacyctGXjbbgz8Qztw" TargetMode="External"/><Relationship Id="rId33" Type="http://schemas.openxmlformats.org/officeDocument/2006/relationships/hyperlink" Target="https://chat.whatsapp.com/JEDsYEWz7z4IE3YJZrqqq1" TargetMode="External"/><Relationship Id="rId38" Type="http://schemas.openxmlformats.org/officeDocument/2006/relationships/hyperlink" Target="https://chat.whatsapp.com/FlTqfDyBFsfEnhg3aNrd2a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iktok.com/@gugaetharcyla" TargetMode="External"/><Relationship Id="rId21" Type="http://schemas.openxmlformats.org/officeDocument/2006/relationships/hyperlink" Target="http://instagram.com/especialistaemti" TargetMode="External"/><Relationship Id="rId324" Type="http://schemas.openxmlformats.org/officeDocument/2006/relationships/hyperlink" Target="https://www.tiktok.com/@meupcnet" TargetMode="External"/><Relationship Id="rId531" Type="http://schemas.openxmlformats.org/officeDocument/2006/relationships/hyperlink" Target="https://www.instagram.com/enxovaldagi?igsh=MWRlMmM4OGl2ZjF2eQ%3D%3D&amp;utm_source=qr" TargetMode="External"/><Relationship Id="rId170" Type="http://schemas.openxmlformats.org/officeDocument/2006/relationships/hyperlink" Target="https://www.instagram.com/achados_afneto/" TargetMode="External"/><Relationship Id="rId268" Type="http://schemas.openxmlformats.org/officeDocument/2006/relationships/hyperlink" Target="https://www.instagram.com/dicasdacleyde" TargetMode="External"/><Relationship Id="rId475" Type="http://schemas.openxmlformats.org/officeDocument/2006/relationships/hyperlink" Target="https://www.instagram.com/achadoospromo?igsh=ZHF2bm0xMWRzcGcz&amp;utm_source=qr" TargetMode="External"/><Relationship Id="rId32" Type="http://schemas.openxmlformats.org/officeDocument/2006/relationships/hyperlink" Target="https://www.tiktok.com/@jptechgames_" TargetMode="External"/><Relationship Id="rId128" Type="http://schemas.openxmlformats.org/officeDocument/2006/relationships/hyperlink" Target="https://www.tiktok.com/@superconsumer?_t=ZM-8yzM19UwYQ1&amp;_r=1" TargetMode="External"/><Relationship Id="rId335" Type="http://schemas.openxmlformats.org/officeDocument/2006/relationships/hyperlink" Target="https://www.tiktok.com/@julyannepontes?is_from_webapp=1&amp;sender_device=pc" TargetMode="External"/><Relationship Id="rId542" Type="http://schemas.openxmlformats.org/officeDocument/2006/relationships/hyperlink" Target="https://www.tiktok.com/@lilianalves8719?_t=ZM-8yzLnsUhoVp&amp;_r=1" TargetMode="External"/><Relationship Id="rId181" Type="http://schemas.openxmlformats.org/officeDocument/2006/relationships/hyperlink" Target="https://www.instagram.com/allan_belarmino/" TargetMode="External"/><Relationship Id="rId402" Type="http://schemas.openxmlformats.org/officeDocument/2006/relationships/hyperlink" Target="https://www.tiktok.com/@bugadao.com.br" TargetMode="External"/><Relationship Id="rId279" Type="http://schemas.openxmlformats.org/officeDocument/2006/relationships/hyperlink" Target="https://www.instagram.com/bigofertasvip/" TargetMode="External"/><Relationship Id="rId486" Type="http://schemas.openxmlformats.org/officeDocument/2006/relationships/hyperlink" Target="https://www.instagram.com/elly.indica" TargetMode="External"/><Relationship Id="rId43" Type="http://schemas.openxmlformats.org/officeDocument/2006/relationships/hyperlink" Target="https://www.instagram.com/qualnotebook/" TargetMode="External"/><Relationship Id="rId139" Type="http://schemas.openxmlformats.org/officeDocument/2006/relationships/hyperlink" Target="https://www.tiktok.com/@henriquecardosotech" TargetMode="External"/><Relationship Id="rId346" Type="http://schemas.openxmlformats.org/officeDocument/2006/relationships/hyperlink" Target="https://www.instagram.com/dicasdospapais?igsh=MXNkODBndWJ0aDl4ZQ==" TargetMode="External"/><Relationship Id="rId553" Type="http://schemas.openxmlformats.org/officeDocument/2006/relationships/hyperlink" Target="https://www.instagram.com/dicasdadanu?igsh=cWIwZmE4cmdjY3V0&amp;utm_source=qr" TargetMode="External"/><Relationship Id="rId192" Type="http://schemas.openxmlformats.org/officeDocument/2006/relationships/hyperlink" Target="https://www.tiktok.com/@meups_oficial" TargetMode="External"/><Relationship Id="rId206" Type="http://schemas.openxmlformats.org/officeDocument/2006/relationships/hyperlink" Target="https://www.tiktok.com/@alertadecupons" TargetMode="External"/><Relationship Id="rId413" Type="http://schemas.openxmlformats.org/officeDocument/2006/relationships/hyperlink" Target="https://www.tiktok.com/@especialistautililitario" TargetMode="External"/><Relationship Id="rId497" Type="http://schemas.openxmlformats.org/officeDocument/2006/relationships/hyperlink" Target="https://www.instagram.com/tamyachadoss" TargetMode="External"/><Relationship Id="rId357" Type="http://schemas.openxmlformats.org/officeDocument/2006/relationships/hyperlink" Target="https://www.tiktok.com/@elisa.langsch" TargetMode="External"/><Relationship Id="rId54" Type="http://schemas.openxmlformats.org/officeDocument/2006/relationships/hyperlink" Target="https://www.instagram.com/lucas.ishii/" TargetMode="External"/><Relationship Id="rId217" Type="http://schemas.openxmlformats.org/officeDocument/2006/relationships/hyperlink" Target="https://www.instagram.com/alphafitnessbrazil?igsh=MW4zZ2h6YjBnanJqOA==" TargetMode="External"/><Relationship Id="rId564" Type="http://schemas.openxmlformats.org/officeDocument/2006/relationships/hyperlink" Target="http://instagram.com/passageirodequinta" TargetMode="External"/><Relationship Id="rId424" Type="http://schemas.openxmlformats.org/officeDocument/2006/relationships/hyperlink" Target="https://www.instagram.com/promoscombruna" TargetMode="External"/><Relationship Id="rId270" Type="http://schemas.openxmlformats.org/officeDocument/2006/relationships/hyperlink" Target="https://www.tiktok.com/@promosnahora?_t=ZM-8xhmhcgD673&amp;_r=1" TargetMode="External"/><Relationship Id="rId65" Type="http://schemas.openxmlformats.org/officeDocument/2006/relationships/hyperlink" Target="https://www.tiktok.com/@republicadg" TargetMode="External"/><Relationship Id="rId130" Type="http://schemas.openxmlformats.org/officeDocument/2006/relationships/hyperlink" Target="https://www.tiktok.com/@cmdias_oficial?_t=ZM-8yncuV98E6S&amp;_r=1" TargetMode="External"/><Relationship Id="rId368" Type="http://schemas.openxmlformats.org/officeDocument/2006/relationships/hyperlink" Target="https://www.instagram.com/axadinh0?igsh=MXRzN2lnazQ1YzN1cQ%3D%3D&amp;utm_source=qr" TargetMode="External"/><Relationship Id="rId575" Type="http://schemas.openxmlformats.org/officeDocument/2006/relationships/hyperlink" Target="https://www.tiktok.com/@promocaonaweb26?_t=ZN-90FFpwn6PBe&amp;_r=1" TargetMode="External"/><Relationship Id="rId228" Type="http://schemas.openxmlformats.org/officeDocument/2006/relationships/hyperlink" Target="https://www.instagram.com/formulaidealfit/profilecard/?igsh=b3JibGx2aGVzMDc=" TargetMode="External"/><Relationship Id="rId435" Type="http://schemas.openxmlformats.org/officeDocument/2006/relationships/hyperlink" Target="https://www.tiktok.com/@girlsbugs?_t=ZM-8xhwZTmVOVk&amp;_r=1" TargetMode="External"/><Relationship Id="rId281" Type="http://schemas.openxmlformats.org/officeDocument/2006/relationships/hyperlink" Target="http://tiktok.com.br/promosdorafa" TargetMode="External"/><Relationship Id="rId502" Type="http://schemas.openxmlformats.org/officeDocument/2006/relationships/hyperlink" Target="https://www.tiktok.com/@eu.marcosoliveira" TargetMode="External"/><Relationship Id="rId76" Type="http://schemas.openxmlformats.org/officeDocument/2006/relationships/hyperlink" Target="http://instagram.com/matheuskise/" TargetMode="External"/><Relationship Id="rId141" Type="http://schemas.openxmlformats.org/officeDocument/2006/relationships/hyperlink" Target="https://www.tiktok.com/@tecnaninformatica" TargetMode="External"/><Relationship Id="rId379" Type="http://schemas.openxmlformats.org/officeDocument/2006/relationships/hyperlink" Target="https://www.instagram.com/home_e_ofertas" TargetMode="External"/><Relationship Id="rId586" Type="http://schemas.openxmlformats.org/officeDocument/2006/relationships/hyperlink" Target="https://www.instagram.com/agentedasofertas?igsh=MWo3cjJsNHdwdHVjYQ==" TargetMode="External"/><Relationship Id="rId7" Type="http://schemas.openxmlformats.org/officeDocument/2006/relationships/hyperlink" Target="https://www.tiktok.com/@gesieltaveira" TargetMode="External"/><Relationship Id="rId239" Type="http://schemas.openxmlformats.org/officeDocument/2006/relationships/hyperlink" Target="https://www.instagram.com/promocoes_da_juh_?igsh=MWpoNG03dnl3MjR4dw%3D%3D&amp;utm_source=qr" TargetMode="External"/><Relationship Id="rId446" Type="http://schemas.openxmlformats.org/officeDocument/2006/relationships/hyperlink" Target="https://www.instagram.com/srpromofertas" TargetMode="External"/><Relationship Id="rId292" Type="http://schemas.openxmlformats.org/officeDocument/2006/relationships/hyperlink" Target="https://www.instagram.com/asofertasdahora" TargetMode="External"/><Relationship Id="rId306" Type="http://schemas.openxmlformats.org/officeDocument/2006/relationships/hyperlink" Target="https://www.instagram.com/canaldigplay/" TargetMode="External"/><Relationship Id="rId87" Type="http://schemas.openxmlformats.org/officeDocument/2006/relationships/hyperlink" Target="https://instagram.com/garimpeirosoficial" TargetMode="External"/><Relationship Id="rId513" Type="http://schemas.openxmlformats.org/officeDocument/2006/relationships/hyperlink" Target="https://www.tiktok.com/@mildicasdamay?_t=ZM-8yzLwq7xvwm&amp;_r=1" TargetMode="External"/><Relationship Id="rId152" Type="http://schemas.openxmlformats.org/officeDocument/2006/relationships/hyperlink" Target="https://www.instagram.com/promodaluh?igsh=MXFiNW9vNHh5NDBxdA==" TargetMode="External"/><Relationship Id="rId194" Type="http://schemas.openxmlformats.org/officeDocument/2006/relationships/hyperlink" Target="https://www.tiktok.com/@temdetudotchelo" TargetMode="External"/><Relationship Id="rId208" Type="http://schemas.openxmlformats.org/officeDocument/2006/relationships/hyperlink" Target="https://www.instagram.com/mc8mb/" TargetMode="External"/><Relationship Id="rId415" Type="http://schemas.openxmlformats.org/officeDocument/2006/relationships/hyperlink" Target="https://www.instagram.com/achadosencantoelar?igsh=MXY3eWhvYW5lNGlqdg%3D%3D&amp;utm_source=qr" TargetMode="External"/><Relationship Id="rId457" Type="http://schemas.openxmlformats.org/officeDocument/2006/relationships/hyperlink" Target="https://www.instagram.com/achadinhos.enxovalbebeemamae?igsh=MWZyeGQ2dHg1M2M4dg%3D%3D&amp;utm_source=qr" TargetMode="External"/><Relationship Id="rId261" Type="http://schemas.openxmlformats.org/officeDocument/2006/relationships/hyperlink" Target="https://www.instagram.com/odavyjones/" TargetMode="External"/><Relationship Id="rId499" Type="http://schemas.openxmlformats.org/officeDocument/2006/relationships/hyperlink" Target="https://www.instagram.com/_larissasntana?igsh=d3NqaDc1aTgzdGk=" TargetMode="External"/><Relationship Id="rId14" Type="http://schemas.openxmlformats.org/officeDocument/2006/relationships/hyperlink" Target="http://instagram.com/grupotabugado" TargetMode="External"/><Relationship Id="rId56" Type="http://schemas.openxmlformats.org/officeDocument/2006/relationships/hyperlink" Target="https://www.instagram.com/novosprodutos" TargetMode="External"/><Relationship Id="rId317" Type="http://schemas.openxmlformats.org/officeDocument/2006/relationships/hyperlink" Target="https://www.tiktok.com/@ape_j.c?_t=ZM-8z1BpIEESt6&amp;_r=1" TargetMode="External"/><Relationship Id="rId359" Type="http://schemas.openxmlformats.org/officeDocument/2006/relationships/hyperlink" Target="https://www.tiktok.com/@cacadescontosecupons" TargetMode="External"/><Relationship Id="rId524" Type="http://schemas.openxmlformats.org/officeDocument/2006/relationships/hyperlink" Target="https://www.instagram.com/joaogomeseu" TargetMode="External"/><Relationship Id="rId566" Type="http://schemas.openxmlformats.org/officeDocument/2006/relationships/hyperlink" Target="https://www.instagram.com/comprasdapaty_?igsh=c3lrdzU2NXkzMmxl&amp;utm_source=qr" TargetMode="External"/><Relationship Id="rId98" Type="http://schemas.openxmlformats.org/officeDocument/2006/relationships/hyperlink" Target="https://www.instagram.com/promobyteoficial" TargetMode="External"/><Relationship Id="rId121" Type="http://schemas.openxmlformats.org/officeDocument/2006/relationships/hyperlink" Target="https://www.tiktok.com/@paulodatecnologia" TargetMode="External"/><Relationship Id="rId163" Type="http://schemas.openxmlformats.org/officeDocument/2006/relationships/hyperlink" Target="https://www.tiktok.com/@Fiaspo" TargetMode="External"/><Relationship Id="rId219" Type="http://schemas.openxmlformats.org/officeDocument/2006/relationships/hyperlink" Target="https://www.instagram.com/promocoesdahora.ofc/" TargetMode="External"/><Relationship Id="rId370" Type="http://schemas.openxmlformats.org/officeDocument/2006/relationships/hyperlink" Target="https://www.instagram.com/ricardo.review?igsh=MWZ6ZnZ0bm10aWR1OA==" TargetMode="External"/><Relationship Id="rId426" Type="http://schemas.openxmlformats.org/officeDocument/2006/relationships/hyperlink" Target="https://www.instagram.com/deborahlaines?igsh=MW4wZ3RlNDBwMXl6dA==" TargetMode="External"/><Relationship Id="rId230" Type="http://schemas.openxmlformats.org/officeDocument/2006/relationships/hyperlink" Target="https://tiktok.com/@maxdicas" TargetMode="External"/><Relationship Id="rId468" Type="http://schemas.openxmlformats.org/officeDocument/2006/relationships/hyperlink" Target="https://www.instagram.com/promoshow33?igsh=aTdxdGcyM3hqMTU3" TargetMode="External"/><Relationship Id="rId25" Type="http://schemas.openxmlformats.org/officeDocument/2006/relationships/hyperlink" Target="http://instagram.com/buscopobres" TargetMode="External"/><Relationship Id="rId67" Type="http://schemas.openxmlformats.org/officeDocument/2006/relationships/hyperlink" Target="https://x.com/ofctenis" TargetMode="External"/><Relationship Id="rId272" Type="http://schemas.openxmlformats.org/officeDocument/2006/relationships/hyperlink" Target="https://www.tiktok.com/@marciavascouto?_t=ZM-8xi0gFkTQOs&amp;_r=1" TargetMode="External"/><Relationship Id="rId328" Type="http://schemas.openxmlformats.org/officeDocument/2006/relationships/hyperlink" Target="http://www.ofertaesperta.com/" TargetMode="External"/><Relationship Id="rId535" Type="http://schemas.openxmlformats.org/officeDocument/2006/relationships/hyperlink" Target="https://www.instagram.com/pamferreira.matos?igsh=MWdxbGQzam1pOTN4OA%3D%3D&amp;utm_source=qr" TargetMode="External"/><Relationship Id="rId577" Type="http://schemas.openxmlformats.org/officeDocument/2006/relationships/hyperlink" Target="http://instagram.com/descontosdogah" TargetMode="External"/><Relationship Id="rId132" Type="http://schemas.openxmlformats.org/officeDocument/2006/relationships/hyperlink" Target="https://www.tiktok.com/@talk.pc?_t=ZM-8wlznUJVtGI&amp;_r=1" TargetMode="External"/><Relationship Id="rId174" Type="http://schemas.openxmlformats.org/officeDocument/2006/relationships/hyperlink" Target="https://www.tiktok.com/@topdescontosoficial" TargetMode="External"/><Relationship Id="rId381" Type="http://schemas.openxmlformats.org/officeDocument/2006/relationships/hyperlink" Target="https://www.instagram.com/promosdamilapinheiro" TargetMode="External"/><Relationship Id="rId241" Type="http://schemas.openxmlformats.org/officeDocument/2006/relationships/hyperlink" Target="https://www.instagram.com/adivulgadora/" TargetMode="External"/><Relationship Id="rId437" Type="http://schemas.openxmlformats.org/officeDocument/2006/relationships/hyperlink" Target="https://www.instagram.com/promosdobita/" TargetMode="External"/><Relationship Id="rId479" Type="http://schemas.openxmlformats.org/officeDocument/2006/relationships/hyperlink" Target="https://www.instagram.com/spacebikeoficial?igsh=NDI2aWNxYXdqeWht&amp;utm_source=qr" TargetMode="External"/><Relationship Id="rId36" Type="http://schemas.openxmlformats.org/officeDocument/2006/relationships/hyperlink" Target="https://www.instagram.com/thalissontttech/" TargetMode="External"/><Relationship Id="rId283" Type="http://schemas.openxmlformats.org/officeDocument/2006/relationships/hyperlink" Target="https://www.tiktok.com/@felipericardoo7" TargetMode="External"/><Relationship Id="rId339" Type="http://schemas.openxmlformats.org/officeDocument/2006/relationships/hyperlink" Target="https://instagram.com/sdmlinks" TargetMode="External"/><Relationship Id="rId490" Type="http://schemas.openxmlformats.org/officeDocument/2006/relationships/hyperlink" Target="https://www.tiktok.com/@crowmantech" TargetMode="External"/><Relationship Id="rId504" Type="http://schemas.openxmlformats.org/officeDocument/2006/relationships/hyperlink" Target="https://www.instagram.com/maxhobby_modelismo/" TargetMode="External"/><Relationship Id="rId546" Type="http://schemas.openxmlformats.org/officeDocument/2006/relationships/hyperlink" Target="https://www.instagram.com/uindistore?igsh=MXR0MGR6eXVyZXhm" TargetMode="External"/><Relationship Id="rId78" Type="http://schemas.openxmlformats.org/officeDocument/2006/relationships/hyperlink" Target="https://www.tiktok.com/@tabaratasso?_t=ZM-8xhtvV1QOAQ&amp;_r=1" TargetMode="External"/><Relationship Id="rId101" Type="http://schemas.openxmlformats.org/officeDocument/2006/relationships/hyperlink" Target="https://www.tiktok.com/@uduluiz" TargetMode="External"/><Relationship Id="rId143" Type="http://schemas.openxmlformats.org/officeDocument/2006/relationships/hyperlink" Target="https://www.tiktok.com/@technatela" TargetMode="External"/><Relationship Id="rId185" Type="http://schemas.openxmlformats.org/officeDocument/2006/relationships/hyperlink" Target="https://www.instagram.com/sereiapromo?igsh=MTR5eGQ3ZXdpeHd0Zw%3D%3D&amp;utm_source=qr" TargetMode="External"/><Relationship Id="rId350" Type="http://schemas.openxmlformats.org/officeDocument/2006/relationships/hyperlink" Target="https://www.tiktok.com/@sereianata?_t=ZM-8xi6XO8UgVC&amp;_r=1" TargetMode="External"/><Relationship Id="rId406" Type="http://schemas.openxmlformats.org/officeDocument/2006/relationships/hyperlink" Target="https://www.instagram.com/almaderica_?igsh=NHl1c3RrYXFjaTdp&amp;utm_source=qr" TargetMode="External"/><Relationship Id="rId588" Type="http://schemas.openxmlformats.org/officeDocument/2006/relationships/hyperlink" Target="https://www.instagram.com/achadosdasamm?igsh=MTQxcGdkMTc1YW80aQ%3D%3D&amp;utm_source=qr" TargetMode="External"/><Relationship Id="rId9" Type="http://schemas.openxmlformats.org/officeDocument/2006/relationships/hyperlink" Target="https://www.tiktok.com/@joaopsx" TargetMode="External"/><Relationship Id="rId210" Type="http://schemas.openxmlformats.org/officeDocument/2006/relationships/hyperlink" Target="https://www.tiktok.com/@promoonpromos" TargetMode="External"/><Relationship Id="rId392" Type="http://schemas.openxmlformats.org/officeDocument/2006/relationships/hyperlink" Target="https://www.instagram.com/comoclube/" TargetMode="External"/><Relationship Id="rId448" Type="http://schemas.openxmlformats.org/officeDocument/2006/relationships/hyperlink" Target="https://www.tiktok.com/canaljms" TargetMode="External"/><Relationship Id="rId252" Type="http://schemas.openxmlformats.org/officeDocument/2006/relationships/hyperlink" Target="http://nao.uso.essa.rede/" TargetMode="External"/><Relationship Id="rId294" Type="http://schemas.openxmlformats.org/officeDocument/2006/relationships/hyperlink" Target="https://www.youtube.com/c/Sa%C3%BAdeemForma" TargetMode="External"/><Relationship Id="rId308" Type="http://schemas.openxmlformats.org/officeDocument/2006/relationships/hyperlink" Target="https://www.instagram.com/top_ofertas4?igsh=dWphYzliempram40" TargetMode="External"/><Relationship Id="rId515" Type="http://schemas.openxmlformats.org/officeDocument/2006/relationships/hyperlink" Target="https://www.instagram.com/promosdaligia" TargetMode="External"/><Relationship Id="rId47" Type="http://schemas.openxmlformats.org/officeDocument/2006/relationships/hyperlink" Target="https://www.tiktok.com/@danielreen_" TargetMode="External"/><Relationship Id="rId89" Type="http://schemas.openxmlformats.org/officeDocument/2006/relationships/hyperlink" Target="https://www.instagram.com/sddescontos?igsh=ZnRycXduNWl4c2Fp" TargetMode="External"/><Relationship Id="rId112" Type="http://schemas.openxmlformats.org/officeDocument/2006/relationships/hyperlink" Target="https://www.instagram.com/reduzaoficial/" TargetMode="External"/><Relationship Id="rId154" Type="http://schemas.openxmlformats.org/officeDocument/2006/relationships/hyperlink" Target="https://www.instagram.com/lucasbenevides.oficial?igsh=YzRmZzd1MXJ2ZzZr" TargetMode="External"/><Relationship Id="rId361" Type="http://schemas.openxmlformats.org/officeDocument/2006/relationships/hyperlink" Target="https://www.tiktok.com/@recomenda360" TargetMode="External"/><Relationship Id="rId557" Type="http://schemas.openxmlformats.org/officeDocument/2006/relationships/hyperlink" Target="https://www.instagram.com/elizabethlins.br?igsh=MXhmbXgzbXFvdHI2Mg%3D%3D&amp;utm_source=qr" TargetMode="External"/><Relationship Id="rId196" Type="http://schemas.openxmlformats.org/officeDocument/2006/relationships/hyperlink" Target="https://www.instagram.com/fazaboadescontos?igsh=MXZtcDF4eDAxMzl5bg==" TargetMode="External"/><Relationship Id="rId417" Type="http://schemas.openxmlformats.org/officeDocument/2006/relationships/hyperlink" Target="https://www.instagram.com/gbctec/" TargetMode="External"/><Relationship Id="rId459" Type="http://schemas.openxmlformats.org/officeDocument/2006/relationships/hyperlink" Target="https://www.tiktok.com/@reviewscurtinhas" TargetMode="External"/><Relationship Id="rId16" Type="http://schemas.openxmlformats.org/officeDocument/2006/relationships/hyperlink" Target="https://www.tiktok.com/@lipemalestar" TargetMode="External"/><Relationship Id="rId221" Type="http://schemas.openxmlformats.org/officeDocument/2006/relationships/hyperlink" Target="https://www.instagram.com/passageirodeprimeira?igsh=MWg2bjdxNGxndDFqYw==" TargetMode="External"/><Relationship Id="rId263" Type="http://schemas.openxmlformats.org/officeDocument/2006/relationships/hyperlink" Target="https://www.instagram.com/cantinho_das_promos?igsh=NnBuZng2dGhjbXpq&amp;utm_source=qr" TargetMode="External"/><Relationship Id="rId319" Type="http://schemas.openxmlformats.org/officeDocument/2006/relationships/hyperlink" Target="https://www.tiktok.com/@viciadopromocao" TargetMode="External"/><Relationship Id="rId470" Type="http://schemas.openxmlformats.org/officeDocument/2006/relationships/hyperlink" Target="https://www.tiktok.com/@carioca.tech" TargetMode="External"/><Relationship Id="rId526" Type="http://schemas.openxmlformats.org/officeDocument/2006/relationships/hyperlink" Target="https://www.instagram.com/detectaofertas/" TargetMode="External"/><Relationship Id="rId58" Type="http://schemas.openxmlformats.org/officeDocument/2006/relationships/hyperlink" Target="https://www.instagram.com/clubedopresidente/" TargetMode="External"/><Relationship Id="rId123" Type="http://schemas.openxmlformats.org/officeDocument/2006/relationships/hyperlink" Target="https://www.tiktok.com/@manual.de.compra" TargetMode="External"/><Relationship Id="rId330" Type="http://schemas.openxmlformats.org/officeDocument/2006/relationships/hyperlink" Target="https://www.instagram.com/jordi.tech/" TargetMode="External"/><Relationship Id="rId568" Type="http://schemas.openxmlformats.org/officeDocument/2006/relationships/hyperlink" Target="https://www.instagram.com/gabymachadoatelie" TargetMode="External"/><Relationship Id="rId165" Type="http://schemas.openxmlformats.org/officeDocument/2006/relationships/hyperlink" Target="https://www.instagram.com/achadosdascar?igsh=MXd0N3Q3djc5cDQ1dQ%3D%3D&amp;utm_source=qr" TargetMode="External"/><Relationship Id="rId372" Type="http://schemas.openxmlformats.org/officeDocument/2006/relationships/hyperlink" Target="https://www.tiktok.com/@livrosblackfriday" TargetMode="External"/><Relationship Id="rId428" Type="http://schemas.openxmlformats.org/officeDocument/2006/relationships/hyperlink" Target="https://www.tiktok.com/@achadinhosgarantido?_t=ZM-8xg1XNsx3ma&amp;_r=1" TargetMode="External"/><Relationship Id="rId232" Type="http://schemas.openxmlformats.org/officeDocument/2006/relationships/hyperlink" Target="https://tiktok.com/@oqcomprei" TargetMode="External"/><Relationship Id="rId274" Type="http://schemas.openxmlformats.org/officeDocument/2006/relationships/hyperlink" Target="https://www.tiktok.com/@shareyourdescontinho?_t=ZM-8xg4NwNIXbi&amp;_r=1" TargetMode="External"/><Relationship Id="rId481" Type="http://schemas.openxmlformats.org/officeDocument/2006/relationships/hyperlink" Target="https://www.instagram.com/tatianebnunes?igsh=d2F4MWY2NWsyaDhn454" TargetMode="External"/><Relationship Id="rId27" Type="http://schemas.openxmlformats.org/officeDocument/2006/relationships/hyperlink" Target="https://www.instagram.com/promos4m/" TargetMode="External"/><Relationship Id="rId69" Type="http://schemas.openxmlformats.org/officeDocument/2006/relationships/hyperlink" Target="https://www.instagram.com/clube.kotas/" TargetMode="External"/><Relationship Id="rId134" Type="http://schemas.openxmlformats.org/officeDocument/2006/relationships/hyperlink" Target="https://www.tiktok.com/@juliafarath" TargetMode="External"/><Relationship Id="rId537" Type="http://schemas.openxmlformats.org/officeDocument/2006/relationships/hyperlink" Target="https://www.instagram.com/lorrainessan/" TargetMode="External"/><Relationship Id="rId579" Type="http://schemas.openxmlformats.org/officeDocument/2006/relationships/hyperlink" Target="http://instagram.com/deolhonoslinks" TargetMode="External"/><Relationship Id="rId80" Type="http://schemas.openxmlformats.org/officeDocument/2006/relationships/hyperlink" Target="https://www.instagram.com/tech_variedadesoficial" TargetMode="External"/><Relationship Id="rId176" Type="http://schemas.openxmlformats.org/officeDocument/2006/relationships/hyperlink" Target="https://www.tiktok.com/@achadosdaccaarol?_t=ZM-8xhtXq0mHSv&amp;_r=1" TargetMode="External"/><Relationship Id="rId341" Type="http://schemas.openxmlformats.org/officeDocument/2006/relationships/hyperlink" Target="http://instagram.com/promosdamarcioliver" TargetMode="External"/><Relationship Id="rId383" Type="http://schemas.openxmlformats.org/officeDocument/2006/relationships/hyperlink" Target="https://www.tiktok.com/@achadosdagabby?_t=ZM-8yzLeRffkn7&amp;_r=1" TargetMode="External"/><Relationship Id="rId439" Type="http://schemas.openxmlformats.org/officeDocument/2006/relationships/hyperlink" Target="https://www.instagram.com/eusoumayssa?igsh=ZmU2czRkdXo1NHdu&amp;utm_source=qr" TargetMode="External"/><Relationship Id="rId590" Type="http://schemas.openxmlformats.org/officeDocument/2006/relationships/hyperlink" Target="https://www.instagram.com/jubabyofertas/" TargetMode="External"/><Relationship Id="rId201" Type="http://schemas.openxmlformats.org/officeDocument/2006/relationships/hyperlink" Target="https://www.tiktok.com/@versatilfragrance?_t=ZM-8xhm8akRKPW&amp;_r=1" TargetMode="External"/><Relationship Id="rId243" Type="http://schemas.openxmlformats.org/officeDocument/2006/relationships/hyperlink" Target="https://www.instagram.com/xaviertech.yt?igsh=aGowbHl1cjc4bWR3" TargetMode="External"/><Relationship Id="rId285" Type="http://schemas.openxmlformats.org/officeDocument/2006/relationships/hyperlink" Target="https://www.tiktok.com/@superdicasecupons" TargetMode="External"/><Relationship Id="rId450" Type="http://schemas.openxmlformats.org/officeDocument/2006/relationships/hyperlink" Target="https://www.tiktok.com/@achadosdanay.br?_t=ZM-8z92u3m73FY&amp;_r=1" TargetMode="External"/><Relationship Id="rId506" Type="http://schemas.openxmlformats.org/officeDocument/2006/relationships/hyperlink" Target="https://www.tiktok.com/@promodamilla?_t=ZM-8ydNRLJXrtN&amp;_r=1" TargetMode="External"/><Relationship Id="rId38" Type="http://schemas.openxmlformats.org/officeDocument/2006/relationships/hyperlink" Target="https://www.instagram.com/peguepromo/" TargetMode="External"/><Relationship Id="rId103" Type="http://schemas.openxmlformats.org/officeDocument/2006/relationships/hyperlink" Target="https://www.tiktok.com/@babypromokids" TargetMode="External"/><Relationship Id="rId310" Type="http://schemas.openxmlformats.org/officeDocument/2006/relationships/hyperlink" Target="https://www.tiktok.com/@will.sabarreto?_t=ZM-8ydNVvl0XuK&amp;_r=1" TargetMode="External"/><Relationship Id="rId492" Type="http://schemas.openxmlformats.org/officeDocument/2006/relationships/hyperlink" Target="https://www.instagram.com/juaocupons/" TargetMode="External"/><Relationship Id="rId548" Type="http://schemas.openxmlformats.org/officeDocument/2006/relationships/hyperlink" Target="https://www.tiktok.com/@dicasdacoutinhoo?_t=ZM-8yzLz9ytkdp&amp;_r=1" TargetMode="External"/><Relationship Id="rId91" Type="http://schemas.openxmlformats.org/officeDocument/2006/relationships/hyperlink" Target="https://www.instagram.com/geek.loko" TargetMode="External"/><Relationship Id="rId145" Type="http://schemas.openxmlformats.org/officeDocument/2006/relationships/hyperlink" Target="https://www.tiktok.com/@promotom_" TargetMode="External"/><Relationship Id="rId187" Type="http://schemas.openxmlformats.org/officeDocument/2006/relationships/hyperlink" Target="https://www.instagram.com/canal60up?igsh=eGhnam8zazdrcmhn&amp;utm_source=qr" TargetMode="External"/><Relationship Id="rId352" Type="http://schemas.openxmlformats.org/officeDocument/2006/relationships/hyperlink" Target="https://www.tiktok.com/@testesedicas" TargetMode="External"/><Relationship Id="rId394" Type="http://schemas.openxmlformats.org/officeDocument/2006/relationships/hyperlink" Target="https://www.instagram.com/lordpitta/" TargetMode="External"/><Relationship Id="rId408" Type="http://schemas.openxmlformats.org/officeDocument/2006/relationships/hyperlink" Target="https://www.instagram.com/promodocasal" TargetMode="External"/><Relationship Id="rId212" Type="http://schemas.openxmlformats.org/officeDocument/2006/relationships/hyperlink" Target="https://www.instagram.com/rosleonoficial" TargetMode="External"/><Relationship Id="rId254" Type="http://schemas.openxmlformats.org/officeDocument/2006/relationships/hyperlink" Target="https://www.tiktok.com/@achados.economyza" TargetMode="External"/><Relationship Id="rId49" Type="http://schemas.openxmlformats.org/officeDocument/2006/relationships/hyperlink" Target="https://www.instagram.com/promotopoficial/?hl=pt-br" TargetMode="External"/><Relationship Id="rId114" Type="http://schemas.openxmlformats.org/officeDocument/2006/relationships/hyperlink" Target="https://www.tiktok.com/@tudonapromo_" TargetMode="External"/><Relationship Id="rId296" Type="http://schemas.openxmlformats.org/officeDocument/2006/relationships/hyperlink" Target="https://instagram.com/marcustech.oficial?igshid=YmMyMTA2M2Y=" TargetMode="External"/><Relationship Id="rId461" Type="http://schemas.openxmlformats.org/officeDocument/2006/relationships/hyperlink" Target="https://www.tiktok.com/@achadinhodeverdade?_t=ZM-8xjGOhaozeH&amp;_r=1" TargetMode="External"/><Relationship Id="rId517" Type="http://schemas.openxmlformats.org/officeDocument/2006/relationships/hyperlink" Target="http://instagram.com/diquinhsasgirl" TargetMode="External"/><Relationship Id="rId559" Type="http://schemas.openxmlformats.org/officeDocument/2006/relationships/hyperlink" Target="http://www.instagram.com/guiaproduto" TargetMode="External"/><Relationship Id="rId60" Type="http://schemas.openxmlformats.org/officeDocument/2006/relationships/hyperlink" Target="https://www.instagram.com/canaltechbr/profilecard/?igsh=OG1uOTEwa2s5NWd3" TargetMode="External"/><Relationship Id="rId156" Type="http://schemas.openxmlformats.org/officeDocument/2006/relationships/hyperlink" Target="https://www.instagram.com/ladotech.com.br/" TargetMode="External"/><Relationship Id="rId198" Type="http://schemas.openxmlformats.org/officeDocument/2006/relationships/hyperlink" Target="https://www.instagram.com/wolf.ofertas/" TargetMode="External"/><Relationship Id="rId321" Type="http://schemas.openxmlformats.org/officeDocument/2006/relationships/hyperlink" Target="https://www.instagram.com/bestpromosbrasil?igsh=ZHNxOTJldHd4b2E=" TargetMode="External"/><Relationship Id="rId363" Type="http://schemas.openxmlformats.org/officeDocument/2006/relationships/hyperlink" Target="https://www.tiktok.com/@luizahoffmann2" TargetMode="External"/><Relationship Id="rId419" Type="http://schemas.openxmlformats.org/officeDocument/2006/relationships/hyperlink" Target="https://www.instagram.com.br/lenosanches_" TargetMode="External"/><Relationship Id="rId570" Type="http://schemas.openxmlformats.org/officeDocument/2006/relationships/hyperlink" Target="https://www.tiktok.com/@silverofertasofc" TargetMode="External"/><Relationship Id="rId223" Type="http://schemas.openxmlformats.org/officeDocument/2006/relationships/hyperlink" Target="https://www.instagram.com/guicasainteligente/?hl=pt" TargetMode="External"/><Relationship Id="rId430" Type="http://schemas.openxmlformats.org/officeDocument/2006/relationships/hyperlink" Target="https://www.tiktok.com/@betechers" TargetMode="External"/><Relationship Id="rId18" Type="http://schemas.openxmlformats.org/officeDocument/2006/relationships/hyperlink" Target="http://www.tiktok.com/@canalrodrigomoreira" TargetMode="External"/><Relationship Id="rId265" Type="http://schemas.openxmlformats.org/officeDocument/2006/relationships/hyperlink" Target="https://www.instagram.com/sharkdaspromo?igsh=ODlzNDNuMW9kZ3Bi" TargetMode="External"/><Relationship Id="rId472" Type="http://schemas.openxmlformats.org/officeDocument/2006/relationships/hyperlink" Target="https://www.tiktok.com/@stela.nunes4?_t=ZM-8ygkqsmkROi&amp;_r=1" TargetMode="External"/><Relationship Id="rId528" Type="http://schemas.openxmlformats.org/officeDocument/2006/relationships/hyperlink" Target="https://www.tiktok.com/@denissonnn?_t=ZM-8yzpezcqX7m&amp;_r=1" TargetMode="External"/><Relationship Id="rId125" Type="http://schemas.openxmlformats.org/officeDocument/2006/relationships/hyperlink" Target="https://www.tiktok.com/@felpstech?_t=ZM-8ydRaxH76b0&amp;_r=1" TargetMode="External"/><Relationship Id="rId167" Type="http://schemas.openxmlformats.org/officeDocument/2006/relationships/hyperlink" Target="https://www.instagram.com/grupomenorpreco/" TargetMode="External"/><Relationship Id="rId332" Type="http://schemas.openxmlformats.org/officeDocument/2006/relationships/hyperlink" Target="https://www.instagram.com/tecnoinffo?igsh=MWoxNDl2aHoyaXZrbA%3D%3D&amp;utm_source=qr" TargetMode="External"/><Relationship Id="rId374" Type="http://schemas.openxmlformats.org/officeDocument/2006/relationships/hyperlink" Target="https://www.tiktok.com/@cacadordepromocoes?_t=ZM-8yftgF2cHNW&amp;_r=1" TargetMode="External"/><Relationship Id="rId581" Type="http://schemas.openxmlformats.org/officeDocument/2006/relationships/hyperlink" Target="https://www.instagram.com/viciadas.em.descontos?igsh=MTV0eG9kOWhrbThudw%3D%3D&amp;utm_source=qr" TargetMode="External"/><Relationship Id="rId71" Type="http://schemas.openxmlformats.org/officeDocument/2006/relationships/hyperlink" Target="https://www.tiktok.com/@promotecgames" TargetMode="External"/><Relationship Id="rId234" Type="http://schemas.openxmlformats.org/officeDocument/2006/relationships/hyperlink" Target="https://www.tiktok.com/@casalperdidinho?_t=ZM-8xwbnJllBri&amp;_r=1" TargetMode="External"/><Relationship Id="rId2" Type="http://schemas.openxmlformats.org/officeDocument/2006/relationships/hyperlink" Target="https://www.instagram.com/heroidapromo/" TargetMode="External"/><Relationship Id="rId29" Type="http://schemas.openxmlformats.org/officeDocument/2006/relationships/hyperlink" Target="https://www.instagram.com/santostecpromo/" TargetMode="External"/><Relationship Id="rId276" Type="http://schemas.openxmlformats.org/officeDocument/2006/relationships/hyperlink" Target="https://www.tiktok.com/@portomaiara" TargetMode="External"/><Relationship Id="rId441" Type="http://schemas.openxmlformats.org/officeDocument/2006/relationships/hyperlink" Target="https://www.instagram.com/loucaspromocoes/" TargetMode="External"/><Relationship Id="rId483" Type="http://schemas.openxmlformats.org/officeDocument/2006/relationships/hyperlink" Target="https://www.instagram.com/gu.gdn?igsh=MTVzbnIxMHZqamgzeA==" TargetMode="External"/><Relationship Id="rId539" Type="http://schemas.openxmlformats.org/officeDocument/2006/relationships/hyperlink" Target="https://www.instagram.com/ipromosvip" TargetMode="External"/><Relationship Id="rId40" Type="http://schemas.openxmlformats.org/officeDocument/2006/relationships/hyperlink" Target="https://www.tiktok.com/@inovaleo?_t=8ce33tztExC&amp;_r=1" TargetMode="External"/><Relationship Id="rId136" Type="http://schemas.openxmlformats.org/officeDocument/2006/relationships/hyperlink" Target="https://www.tiktok.com/@gabpromo_" TargetMode="External"/><Relationship Id="rId178" Type="http://schemas.openxmlformats.org/officeDocument/2006/relationships/hyperlink" Target="https://www.tiktok.com/@pobre_pcruim" TargetMode="External"/><Relationship Id="rId301" Type="http://schemas.openxmlformats.org/officeDocument/2006/relationships/hyperlink" Target="https://www.tiktok.com/@senhorlinguica?_t=ZM-8xfxh7dIww4&amp;_r=1" TargetMode="External"/><Relationship Id="rId343" Type="http://schemas.openxmlformats.org/officeDocument/2006/relationships/hyperlink" Target="https://sndflw.com/i/whatsapp" TargetMode="External"/><Relationship Id="rId550" Type="http://schemas.openxmlformats.org/officeDocument/2006/relationships/hyperlink" Target="https://www.tiktok.com/@eupreciso.achadinhos" TargetMode="External"/><Relationship Id="rId82" Type="http://schemas.openxmlformats.org/officeDocument/2006/relationships/hyperlink" Target="https://www.instagram.com/samuelf3lipe" TargetMode="External"/><Relationship Id="rId203" Type="http://schemas.openxmlformats.org/officeDocument/2006/relationships/hyperlink" Target="https://www.instagram.com/promobabykidsonline/" TargetMode="External"/><Relationship Id="rId385" Type="http://schemas.openxmlformats.org/officeDocument/2006/relationships/hyperlink" Target="https://www.instagram.com/findpromosoficial" TargetMode="External"/><Relationship Id="rId592" Type="http://schemas.openxmlformats.org/officeDocument/2006/relationships/hyperlink" Target="https://www.tiktok.com/@dicasdegarotaofc?_t=ZM-8y4pHI6Izf6&amp;_r=1" TargetMode="External"/><Relationship Id="rId245" Type="http://schemas.openxmlformats.org/officeDocument/2006/relationships/hyperlink" Target="https://www.instagram.com/ogurudaspromos/" TargetMode="External"/><Relationship Id="rId287" Type="http://schemas.openxmlformats.org/officeDocument/2006/relationships/hyperlink" Target="https://www.instagram.com/malucasdapromo/" TargetMode="External"/><Relationship Id="rId410" Type="http://schemas.openxmlformats.org/officeDocument/2006/relationships/hyperlink" Target="https://www.instagram.com/outletdaspromocoess" TargetMode="External"/><Relationship Id="rId452" Type="http://schemas.openxmlformats.org/officeDocument/2006/relationships/hyperlink" Target="https://www.tiktok.com/@alinesouza.cs?_t=ZM-8xhjpMfc3TJ&amp;_r=1" TargetMode="External"/><Relationship Id="rId494" Type="http://schemas.openxmlformats.org/officeDocument/2006/relationships/hyperlink" Target="https://www.instagram.com/achadinhosdapromoo?igsh=MTJmbGxpaDBlMzkwNw%3D%3D&amp;utm_source=qr" TargetMode="External"/><Relationship Id="rId508" Type="http://schemas.openxmlformats.org/officeDocument/2006/relationships/hyperlink" Target="https://www.instagram.com/promoscjessi?igsh=YW5lZDhsd3l4c3Vu" TargetMode="External"/><Relationship Id="rId105" Type="http://schemas.openxmlformats.org/officeDocument/2006/relationships/hyperlink" Target="https://www.instagram.com/tosemkit/" TargetMode="External"/><Relationship Id="rId147" Type="http://schemas.openxmlformats.org/officeDocument/2006/relationships/hyperlink" Target="https://www.instagram.com/cout.samuel/?hl=pt-br" TargetMode="External"/><Relationship Id="rId312" Type="http://schemas.openxmlformats.org/officeDocument/2006/relationships/hyperlink" Target="https://www.instagram.com/gabpromo_?igsh=MWZobTdzc3RtazB4Yg==" TargetMode="External"/><Relationship Id="rId354" Type="http://schemas.openxmlformats.org/officeDocument/2006/relationships/hyperlink" Target="https://www.instagram.com/fotodosfatos/" TargetMode="External"/><Relationship Id="rId51" Type="http://schemas.openxmlformats.org/officeDocument/2006/relationships/hyperlink" Target="https://www.instagram.com/jeffrecomenda?igsh=czA1bWVubm16M205" TargetMode="External"/><Relationship Id="rId93" Type="http://schemas.openxmlformats.org/officeDocument/2006/relationships/hyperlink" Target="https://www.instagram.com/pinceiofertas?igsh=MTNtemlyYmF5a2dwcQ==" TargetMode="External"/><Relationship Id="rId189" Type="http://schemas.openxmlformats.org/officeDocument/2006/relationships/hyperlink" Target="http://instagram.com/" TargetMode="External"/><Relationship Id="rId396" Type="http://schemas.openxmlformats.org/officeDocument/2006/relationships/hyperlink" Target="https://www.instagram.com/achadonapromo?igsh=MTJsenR1bGEzd2ZnMg==" TargetMode="External"/><Relationship Id="rId561" Type="http://schemas.openxmlformats.org/officeDocument/2006/relationships/hyperlink" Target="https://www.tiktok.com/@viniciusalbergoni?_t=ZM-8xh1Qf2Do2f&amp;_r=1" TargetMode="External"/><Relationship Id="rId214" Type="http://schemas.openxmlformats.org/officeDocument/2006/relationships/hyperlink" Target="https://www.instagram.com/bruxopromos" TargetMode="External"/><Relationship Id="rId256" Type="http://schemas.openxmlformats.org/officeDocument/2006/relationships/hyperlink" Target="https://www.tiktok.com/@simpsons.tech" TargetMode="External"/><Relationship Id="rId298" Type="http://schemas.openxmlformats.org/officeDocument/2006/relationships/hyperlink" Target="https://www.instagram.com/dayanepatriarca_?igsh=MXcxdGw2OTUycWlwMA%3D%3D&amp;utm_source=qr" TargetMode="External"/><Relationship Id="rId421" Type="http://schemas.openxmlformats.org/officeDocument/2006/relationships/hyperlink" Target="https://www.instagram.com/blackofertasdodia?igsh=N2RiNGEwZXBvcHRt&amp;utm_source=qr" TargetMode="External"/><Relationship Id="rId463" Type="http://schemas.openxmlformats.org/officeDocument/2006/relationships/hyperlink" Target="https://www.tiktok.com/@br_descontao" TargetMode="External"/><Relationship Id="rId519" Type="http://schemas.openxmlformats.org/officeDocument/2006/relationships/hyperlink" Target="https://www.instagram.com/dailyliviabarros?igsh=MWxsbmJydGRwY2ZmMg%3D%3D&amp;utm_source=qr" TargetMode="External"/><Relationship Id="rId116" Type="http://schemas.openxmlformats.org/officeDocument/2006/relationships/hyperlink" Target="https://www.instagram.com/gugaaprova_/" TargetMode="External"/><Relationship Id="rId158" Type="http://schemas.openxmlformats.org/officeDocument/2006/relationships/hyperlink" Target="https://www.instagram.com/rafaelpachecotech/" TargetMode="External"/><Relationship Id="rId323" Type="http://schemas.openxmlformats.org/officeDocument/2006/relationships/hyperlink" Target="https://www.instagram.com/meupcnet/" TargetMode="External"/><Relationship Id="rId530" Type="http://schemas.openxmlformats.org/officeDocument/2006/relationships/hyperlink" Target="https://www.tiktok.com/@diariopotterhead?_t=ZM-8ydNw2uPBDx&amp;_r=1" TargetMode="External"/><Relationship Id="rId20" Type="http://schemas.openxmlformats.org/officeDocument/2006/relationships/hyperlink" Target="https://www.tiktok.com/@rodrigocoelhoc" TargetMode="External"/><Relationship Id="rId62" Type="http://schemas.openxmlformats.org/officeDocument/2006/relationships/hyperlink" Target="https://www.instagram.com/tem_promo" TargetMode="External"/><Relationship Id="rId365" Type="http://schemas.openxmlformats.org/officeDocument/2006/relationships/hyperlink" Target="https://www.instagram.com/dyegofazolli?igsh=ZjM5azBzbm5qaWVi" TargetMode="External"/><Relationship Id="rId572" Type="http://schemas.openxmlformats.org/officeDocument/2006/relationships/hyperlink" Target="https://www.instagram.com/metodoitnp" TargetMode="External"/><Relationship Id="rId225" Type="http://schemas.openxmlformats.org/officeDocument/2006/relationships/hyperlink" Target="https://www.instagram.com/achei_top_demais/" TargetMode="External"/><Relationship Id="rId267" Type="http://schemas.openxmlformats.org/officeDocument/2006/relationships/hyperlink" Target="https://www.tiktok.com/@eudanielmarvel" TargetMode="External"/><Relationship Id="rId432" Type="http://schemas.openxmlformats.org/officeDocument/2006/relationships/hyperlink" Target="https://www.tiktok.com/@erick7link?_t=ZM-8ydNo7b0EYX&amp;_r=1" TargetMode="External"/><Relationship Id="rId474" Type="http://schemas.openxmlformats.org/officeDocument/2006/relationships/hyperlink" Target="https://www.instagram.com/outlanderpescaesportiva?igsh=YTFhM203MnIydDFi&amp;utm_source=qr" TargetMode="External"/><Relationship Id="rId127" Type="http://schemas.openxmlformats.org/officeDocument/2006/relationships/hyperlink" Target="https://www.instagram.com/superconsumer_?igsh=MWVhZGExbjc5dGN0MQ%3D%3D&amp;utm_source=qr" TargetMode="External"/><Relationship Id="rId31" Type="http://schemas.openxmlformats.org/officeDocument/2006/relationships/hyperlink" Target="https://www.instagram.com/jptechgames/" TargetMode="External"/><Relationship Id="rId73" Type="http://schemas.openxmlformats.org/officeDocument/2006/relationships/hyperlink" Target="https://x.com/preguicaofertas" TargetMode="External"/><Relationship Id="rId169" Type="http://schemas.openxmlformats.org/officeDocument/2006/relationships/hyperlink" Target="https://www.youtube.com/ilustratop" TargetMode="External"/><Relationship Id="rId334" Type="http://schemas.openxmlformats.org/officeDocument/2006/relationships/hyperlink" Target="https://www.instagram.com/julyannepontes?igsh=aHRlamh1NXVicmw%3D&amp;utm_source=qr" TargetMode="External"/><Relationship Id="rId376" Type="http://schemas.openxmlformats.org/officeDocument/2006/relationships/hyperlink" Target="https://www.instagram.com/tudonpromocoes/" TargetMode="External"/><Relationship Id="rId541" Type="http://schemas.openxmlformats.org/officeDocument/2006/relationships/hyperlink" Target="https://www.instagram.com/promocoesuteiss?igsh=MXA5dGlqcWowZXY0Nw%3D%3D&amp;utm_source=qr" TargetMode="External"/><Relationship Id="rId583" Type="http://schemas.openxmlformats.org/officeDocument/2006/relationships/hyperlink" Target="https://www.instagram.com/oapecentoedois?igsh=a3JheHB5ZzA3aW1q&amp;utm_source=qr" TargetMode="External"/><Relationship Id="rId4" Type="http://schemas.openxmlformats.org/officeDocument/2006/relationships/hyperlink" Target="https://www.instagram.com/jeersu" TargetMode="External"/><Relationship Id="rId180" Type="http://schemas.openxmlformats.org/officeDocument/2006/relationships/hyperlink" Target="https://www.tiktok.com/@danferreiratech" TargetMode="External"/><Relationship Id="rId236" Type="http://schemas.openxmlformats.org/officeDocument/2006/relationships/hyperlink" Target="https://www.tiktok.com/@leandro_indica" TargetMode="External"/><Relationship Id="rId278" Type="http://schemas.openxmlformats.org/officeDocument/2006/relationships/hyperlink" Target="https://www.tiktok.com/@achadinhosexcelentes?_t=ZM-8yeRl3fJF81&amp;_r=1" TargetMode="External"/><Relationship Id="rId401" Type="http://schemas.openxmlformats.org/officeDocument/2006/relationships/hyperlink" Target="https://www.instagram.com/bugadao.com.br/" TargetMode="External"/><Relationship Id="rId443" Type="http://schemas.openxmlformats.org/officeDocument/2006/relationships/hyperlink" Target="https://www.tiktok.com/@gldabxd?_t=ZM-90FHWzHPGuK&amp;_r=1" TargetMode="External"/><Relationship Id="rId303" Type="http://schemas.openxmlformats.org/officeDocument/2006/relationships/hyperlink" Target="http://www.youtube.com/@blogdocafe" TargetMode="External"/><Relationship Id="rId485" Type="http://schemas.openxmlformats.org/officeDocument/2006/relationships/hyperlink" Target="https://www.tiktok.com/@owaguim" TargetMode="External"/><Relationship Id="rId42" Type="http://schemas.openxmlformats.org/officeDocument/2006/relationships/hyperlink" Target="https://x.com/lobaopromo?s=21" TargetMode="External"/><Relationship Id="rId84" Type="http://schemas.openxmlformats.org/officeDocument/2006/relationships/hyperlink" Target="https://www.instagram.com/tjgamingbr" TargetMode="External"/><Relationship Id="rId138" Type="http://schemas.openxmlformats.org/officeDocument/2006/relationships/hyperlink" Target="https://www.instagram.com/henriquecardosoyt/" TargetMode="External"/><Relationship Id="rId345" Type="http://schemas.openxmlformats.org/officeDocument/2006/relationships/hyperlink" Target="https://www.tiktok.com/@infobrpromos" TargetMode="External"/><Relationship Id="rId387" Type="http://schemas.openxmlformats.org/officeDocument/2006/relationships/hyperlink" Target="https://www.instagram.com/caryneerocha?igsh=MXVpYzE5dHRibzRpaA%3D%3D&amp;utm_source=qr" TargetMode="External"/><Relationship Id="rId510" Type="http://schemas.openxmlformats.org/officeDocument/2006/relationships/hyperlink" Target="https://www.instagram.com.br/julianefrois" TargetMode="External"/><Relationship Id="rId552" Type="http://schemas.openxmlformats.org/officeDocument/2006/relationships/hyperlink" Target="https://www.instagram.com/laisfrojoni" TargetMode="External"/><Relationship Id="rId594" Type="http://schemas.openxmlformats.org/officeDocument/2006/relationships/hyperlink" Target="https://www.tiktok.com/@indicacupons?_t=ZM-8xhQK0JEH4y&amp;_r=1" TargetMode="External"/><Relationship Id="rId191" Type="http://schemas.openxmlformats.org/officeDocument/2006/relationships/hyperlink" Target="https://www.instagram.com/meups_oficial/" TargetMode="External"/><Relationship Id="rId205" Type="http://schemas.openxmlformats.org/officeDocument/2006/relationships/hyperlink" Target="https://www.instagram.com/alerta_cupons" TargetMode="External"/><Relationship Id="rId247" Type="http://schemas.openxmlformats.org/officeDocument/2006/relationships/hyperlink" Target="http://instagram.com/ofertas.perdidinhas" TargetMode="External"/><Relationship Id="rId412" Type="http://schemas.openxmlformats.org/officeDocument/2006/relationships/hyperlink" Target="https://www.instagram.com/especialistautilitario/" TargetMode="External"/><Relationship Id="rId107" Type="http://schemas.openxmlformats.org/officeDocument/2006/relationships/hyperlink" Target="https://www.instagram.com/promohub.br/" TargetMode="External"/><Relationship Id="rId289" Type="http://schemas.openxmlformats.org/officeDocument/2006/relationships/hyperlink" Target="https://www.instagram.com/espieioferta/" TargetMode="External"/><Relationship Id="rId454" Type="http://schemas.openxmlformats.org/officeDocument/2006/relationships/hyperlink" Target="https://www.instagram.com/glpromocoes_?igsh=MWUyNWRvdnJuMmdnOA==" TargetMode="External"/><Relationship Id="rId496" Type="http://schemas.openxmlformats.org/officeDocument/2006/relationships/hyperlink" Target="https://www.tiktok.com/@caceieacheipromos?_t=ZM-8ydScparcNZ&amp;_r=1" TargetMode="External"/><Relationship Id="rId11" Type="http://schemas.openxmlformats.org/officeDocument/2006/relationships/hyperlink" Target="https://www.tiktok.com/@vrltecnologia" TargetMode="External"/><Relationship Id="rId53" Type="http://schemas.openxmlformats.org/officeDocument/2006/relationships/hyperlink" Target="http://instagram.com/promoimperdivel_" TargetMode="External"/><Relationship Id="rId149" Type="http://schemas.openxmlformats.org/officeDocument/2006/relationships/hyperlink" Target="https://www.instagram.com/iskandar_souza/" TargetMode="External"/><Relationship Id="rId314" Type="http://schemas.openxmlformats.org/officeDocument/2006/relationships/hyperlink" Target="https://www.tiktok.com/@mathvsl" TargetMode="External"/><Relationship Id="rId356" Type="http://schemas.openxmlformats.org/officeDocument/2006/relationships/hyperlink" Target="https://www.instagram.com/elisalangsch/" TargetMode="External"/><Relationship Id="rId398" Type="http://schemas.openxmlformats.org/officeDocument/2006/relationships/hyperlink" Target="https://www.instagram.com/achadinhosdi.casa?igsh=M2oxM2g0dnJjbG9t&amp;utm_source=qr" TargetMode="External"/><Relationship Id="rId521" Type="http://schemas.openxmlformats.org/officeDocument/2006/relationships/hyperlink" Target="https://www.instagram.com/minadaspaty?igsh=MWxqYWM0M3RyNW9ybg%3D%3D&amp;utm_source=qr" TargetMode="External"/><Relationship Id="rId563" Type="http://schemas.openxmlformats.org/officeDocument/2006/relationships/hyperlink" Target="https://www.tiktok.com/@zagabeauty?" TargetMode="External"/><Relationship Id="rId95" Type="http://schemas.openxmlformats.org/officeDocument/2006/relationships/hyperlink" Target="https://www.instagram.com/ofertasgamer_oficial/" TargetMode="External"/><Relationship Id="rId160" Type="http://schemas.openxmlformats.org/officeDocument/2006/relationships/hyperlink" Target="https://www.instagram.com/aquitempechincha" TargetMode="External"/><Relationship Id="rId216" Type="http://schemas.openxmlformats.org/officeDocument/2006/relationships/hyperlink" Target="https://www.tiktok.com/@donnadescontos" TargetMode="External"/><Relationship Id="rId423" Type="http://schemas.openxmlformats.org/officeDocument/2006/relationships/hyperlink" Target="https://www.tiktok.com/@brasilencontreiachados?_t=ZM-8ygpsfgb1m9&amp;_r=1" TargetMode="External"/><Relationship Id="rId258" Type="http://schemas.openxmlformats.org/officeDocument/2006/relationships/hyperlink" Target="https://www.tiktok.com/@monsterofertas?_t=ZM-8xh21zF0Kgi&amp;_r=1" TargetMode="External"/><Relationship Id="rId465" Type="http://schemas.openxmlformats.org/officeDocument/2006/relationships/hyperlink" Target="https://www.instagram.com/loucaspromocoes/" TargetMode="External"/><Relationship Id="rId22" Type="http://schemas.openxmlformats.org/officeDocument/2006/relationships/hyperlink" Target="http://tiktok.com/especialistaemti" TargetMode="External"/><Relationship Id="rId64" Type="http://schemas.openxmlformats.org/officeDocument/2006/relationships/hyperlink" Target="https://www.instagram.com/descontoemgames" TargetMode="External"/><Relationship Id="rId118" Type="http://schemas.openxmlformats.org/officeDocument/2006/relationships/hyperlink" Target="https://www.instagram.com/adrenaline_oficial/" TargetMode="External"/><Relationship Id="rId325" Type="http://schemas.openxmlformats.org/officeDocument/2006/relationships/hyperlink" Target="https://www.instagram.com/iuriindica" TargetMode="External"/><Relationship Id="rId367" Type="http://schemas.openxmlformats.org/officeDocument/2006/relationships/hyperlink" Target="https://www.tiktok.com/@canalreneparaiso" TargetMode="External"/><Relationship Id="rId532" Type="http://schemas.openxmlformats.org/officeDocument/2006/relationships/hyperlink" Target="https://www.tiktok.com/@enxovalldagi?_t=ZM-90Q0j1FVlpA&amp;_r=1" TargetMode="External"/><Relationship Id="rId574" Type="http://schemas.openxmlformats.org/officeDocument/2006/relationships/hyperlink" Target="https://www.instagram.com/promocaoweb26?igsh=MTFlYzdxaHYwb2kxYw%3D%3D&amp;utm_source=qr" TargetMode="External"/><Relationship Id="rId171" Type="http://schemas.openxmlformats.org/officeDocument/2006/relationships/hyperlink" Target="https://www.instagram.com/achadinhoscomcarol?igsh=MXF4NGhmcXdtcGdqYQ%3D%3D&amp;utm_source=qr" TargetMode="External"/><Relationship Id="rId227" Type="http://schemas.openxmlformats.org/officeDocument/2006/relationships/hyperlink" Target="https://www.tiktok.com/@day.promos?_t=ZM-8yzLgWz66UA&amp;_r=1" TargetMode="External"/><Relationship Id="rId269" Type="http://schemas.openxmlformats.org/officeDocument/2006/relationships/hyperlink" Target="https://www.instagram.com/promosnahora/profilecard/?igsh=MTkyaG5zcTQzMGViOA==" TargetMode="External"/><Relationship Id="rId434" Type="http://schemas.openxmlformats.org/officeDocument/2006/relationships/hyperlink" Target="https://www.instagram.com/girlsbugs?utm_source=qr" TargetMode="External"/><Relationship Id="rId476" Type="http://schemas.openxmlformats.org/officeDocument/2006/relationships/hyperlink" Target="https://www.tiktok.com/@karinacepellos?_t=ZM-8ydP3zUXpyv&amp;_r=1" TargetMode="External"/><Relationship Id="rId33" Type="http://schemas.openxmlformats.org/officeDocument/2006/relationships/hyperlink" Target="https://www.instagram.com/pcdofafa?igsh=MW15cTUyaDV2a3QwaQ==" TargetMode="External"/><Relationship Id="rId129" Type="http://schemas.openxmlformats.org/officeDocument/2006/relationships/hyperlink" Target="https://www.instagram.com/cmdias_oficial?igsh=MXhkazV4a3ZvOGF2cg%3D%3D&amp;utm_source=qr" TargetMode="External"/><Relationship Id="rId280" Type="http://schemas.openxmlformats.org/officeDocument/2006/relationships/hyperlink" Target="http://instagram.com/promosdorafa_" TargetMode="External"/><Relationship Id="rId336" Type="http://schemas.openxmlformats.org/officeDocument/2006/relationships/hyperlink" Target="https://www.instagram.com/rochahardtec?igsh=MXUwcGk2dzY2dG1vdg==" TargetMode="External"/><Relationship Id="rId501" Type="http://schemas.openxmlformats.org/officeDocument/2006/relationships/hyperlink" Target="https://perfil.em.reavaliacao/" TargetMode="External"/><Relationship Id="rId543" Type="http://schemas.openxmlformats.org/officeDocument/2006/relationships/hyperlink" Target="https://www.instagram.com/cantinhodasmanicuresofc?igsh=MTd5bGYxNGhlMXNhMQ==" TargetMode="External"/><Relationship Id="rId75" Type="http://schemas.openxmlformats.org/officeDocument/2006/relationships/hyperlink" Target="https://www.tiktok.com/@garimpeiofertasoficial?_t=ZM-8xgGGnDzwt3&amp;_r=" TargetMode="External"/><Relationship Id="rId140" Type="http://schemas.openxmlformats.org/officeDocument/2006/relationships/hyperlink" Target="https://www.instagram.com/tecnan_informatica" TargetMode="External"/><Relationship Id="rId182" Type="http://schemas.openxmlformats.org/officeDocument/2006/relationships/hyperlink" Target="https://www.tiktok.com/@alishow_oficial" TargetMode="External"/><Relationship Id="rId378" Type="http://schemas.openxmlformats.org/officeDocument/2006/relationships/hyperlink" Target="https://www.tiktok.com/@debikenamontanha?_t=ZM-8yzS2IkYJvE&amp;_r=1" TargetMode="External"/><Relationship Id="rId403" Type="http://schemas.openxmlformats.org/officeDocument/2006/relationships/hyperlink" Target="https://www.instagram.com/promoatleta/" TargetMode="External"/><Relationship Id="rId585" Type="http://schemas.openxmlformats.org/officeDocument/2006/relationships/hyperlink" Target="https://www.instagram.com/fabicdorneles/" TargetMode="External"/><Relationship Id="rId6" Type="http://schemas.openxmlformats.org/officeDocument/2006/relationships/hyperlink" Target="https://www.instagram.com/gesieltaveira/" TargetMode="External"/><Relationship Id="rId238" Type="http://schemas.openxmlformats.org/officeDocument/2006/relationships/hyperlink" Target="https://www.tiktok.com/@achadinhodadri" TargetMode="External"/><Relationship Id="rId445" Type="http://schemas.openxmlformats.org/officeDocument/2006/relationships/hyperlink" Target="https://www.tiktok.com/@ratadosachados?_t=ZM-8xkQWcdOhAm&amp;_r=1" TargetMode="External"/><Relationship Id="rId487" Type="http://schemas.openxmlformats.org/officeDocument/2006/relationships/hyperlink" Target="https://instagram.com/descontador" TargetMode="External"/><Relationship Id="rId291" Type="http://schemas.openxmlformats.org/officeDocument/2006/relationships/hyperlink" Target="https://www.instagram.com/imperadordaspromocoes/" TargetMode="External"/><Relationship Id="rId305" Type="http://schemas.openxmlformats.org/officeDocument/2006/relationships/hyperlink" Target="https://www.tiktok.com/@arainhadaspromocoes" TargetMode="External"/><Relationship Id="rId347" Type="http://schemas.openxmlformats.org/officeDocument/2006/relationships/hyperlink" Target="https://www.tiktok.com/@dicasdospapais" TargetMode="External"/><Relationship Id="rId512" Type="http://schemas.openxmlformats.org/officeDocument/2006/relationships/hyperlink" Target="https://www.instagram.com/mildicasdamay?igsh=MXNwZjI4c3k1bXB0OQ%3D%3D&amp;utm_source=qr" TargetMode="External"/><Relationship Id="rId44" Type="http://schemas.openxmlformats.org/officeDocument/2006/relationships/hyperlink" Target="https://www.tiktok.com/@qualnotebook/" TargetMode="External"/><Relationship Id="rId86" Type="http://schemas.openxmlformats.org/officeDocument/2006/relationships/hyperlink" Target="https://www.instagram.com/achados.em.promo" TargetMode="External"/><Relationship Id="rId151" Type="http://schemas.openxmlformats.org/officeDocument/2006/relationships/hyperlink" Target="https://www.instagram.com/rochahardtec?igsh=MXUwcGk2dzY2dG1vdg==" TargetMode="External"/><Relationship Id="rId389" Type="http://schemas.openxmlformats.org/officeDocument/2006/relationships/hyperlink" Target="https://www.youtube.com/@unboxingnalata" TargetMode="External"/><Relationship Id="rId554" Type="http://schemas.openxmlformats.org/officeDocument/2006/relationships/hyperlink" Target="https://www.tiktok.com/@dicasdadanu?_t=ZM-8ygp8t9YqPw&amp;_r=1" TargetMode="External"/><Relationship Id="rId596" Type="http://schemas.openxmlformats.org/officeDocument/2006/relationships/hyperlink" Target="https://www.instagram.com/doguinhopromo?igsh=eWVuaWNmbzZ4enlu" TargetMode="External"/><Relationship Id="rId193" Type="http://schemas.openxmlformats.org/officeDocument/2006/relationships/hyperlink" Target="https://www.instagram.com/temdetudotchelo/" TargetMode="External"/><Relationship Id="rId207" Type="http://schemas.openxmlformats.org/officeDocument/2006/relationships/hyperlink" Target="https://www.instagram.com/mc8mb/" TargetMode="External"/><Relationship Id="rId249" Type="http://schemas.openxmlformats.org/officeDocument/2006/relationships/hyperlink" Target="https://www.instagram.com/apromoperfeita/" TargetMode="External"/><Relationship Id="rId414" Type="http://schemas.openxmlformats.org/officeDocument/2006/relationships/hyperlink" Target="https://www.instagram.com/tiemichino/" TargetMode="External"/><Relationship Id="rId456" Type="http://schemas.openxmlformats.org/officeDocument/2006/relationships/hyperlink" Target="https://www.tiktok.com/@lariiimarqs?_t=ZM-8ydNum5sJyH&amp;_r=1" TargetMode="External"/><Relationship Id="rId498" Type="http://schemas.openxmlformats.org/officeDocument/2006/relationships/hyperlink" Target="https://www.instagram.com/monedeira/" TargetMode="External"/><Relationship Id="rId13" Type="http://schemas.openxmlformats.org/officeDocument/2006/relationships/hyperlink" Target="http://www.tiktok.com/@thautec" TargetMode="External"/><Relationship Id="rId109" Type="http://schemas.openxmlformats.org/officeDocument/2006/relationships/hyperlink" Target="http://promodica.com.br/" TargetMode="External"/><Relationship Id="rId260" Type="http://schemas.openxmlformats.org/officeDocument/2006/relationships/hyperlink" Target="http://www.instagram.com/akipromocoesoficial" TargetMode="External"/><Relationship Id="rId316" Type="http://schemas.openxmlformats.org/officeDocument/2006/relationships/hyperlink" Target="https://www.instagram.com/ape_j.c?igsh=aHhlYmR3MXhlYzRm&amp;utm_source=qr" TargetMode="External"/><Relationship Id="rId523" Type="http://schemas.openxmlformats.org/officeDocument/2006/relationships/hyperlink" Target="https://www.instagram.com/maravilhadepromos?igsh=MXVmeWxvYTBwdW5wbQ==" TargetMode="External"/><Relationship Id="rId55" Type="http://schemas.openxmlformats.org/officeDocument/2006/relationships/hyperlink" Target="https://www.tiktok.com/@lucas_ishii?lang=pt-BR" TargetMode="External"/><Relationship Id="rId97" Type="http://schemas.openxmlformats.org/officeDocument/2006/relationships/hyperlink" Target="https://www.instagram.com/guerradealsfit" TargetMode="External"/><Relationship Id="rId120" Type="http://schemas.openxmlformats.org/officeDocument/2006/relationships/hyperlink" Target="https://www.instagram.com/paulodatecnologia/" TargetMode="External"/><Relationship Id="rId358" Type="http://schemas.openxmlformats.org/officeDocument/2006/relationships/hyperlink" Target="https://www.instagram.com/cacadescontosecupons" TargetMode="External"/><Relationship Id="rId565" Type="http://schemas.openxmlformats.org/officeDocument/2006/relationships/hyperlink" Target="http://tiktok.com/" TargetMode="External"/><Relationship Id="rId162" Type="http://schemas.openxmlformats.org/officeDocument/2006/relationships/hyperlink" Target="https://www.instagram.com/fiaspo/" TargetMode="External"/><Relationship Id="rId218" Type="http://schemas.openxmlformats.org/officeDocument/2006/relationships/hyperlink" Target="https://www.instagram.com/diogenes_carneiroo?igsh=bWh5MGk5YW0zNjQ5" TargetMode="External"/><Relationship Id="rId425" Type="http://schemas.openxmlformats.org/officeDocument/2006/relationships/hyperlink" Target="https://www.tiktok.com/@bru.andradi?_t=ZM-8yzM6YBzcYf&amp;_r=1" TargetMode="External"/><Relationship Id="rId467" Type="http://schemas.openxmlformats.org/officeDocument/2006/relationships/hyperlink" Target="https://www.tiktok.com/@achadinhos_loversdicas?_t=ZM-8xfx1uNhFTU&amp;_r=1" TargetMode="External"/><Relationship Id="rId271" Type="http://schemas.openxmlformats.org/officeDocument/2006/relationships/hyperlink" Target="https://www.instagram.com/marciavascouto?igsh=MWVlbnFtbTVkODI5Zg%3D%3D&amp;utm_source=qr" TargetMode="External"/><Relationship Id="rId24" Type="http://schemas.openxmlformats.org/officeDocument/2006/relationships/hyperlink" Target="http://tiktok.com/@promocaozinha" TargetMode="External"/><Relationship Id="rId66" Type="http://schemas.openxmlformats.org/officeDocument/2006/relationships/hyperlink" Target="https://x.com/ofcpromo" TargetMode="External"/><Relationship Id="rId131" Type="http://schemas.openxmlformats.org/officeDocument/2006/relationships/hyperlink" Target="https://www.instagram.com/vitordobranding" TargetMode="External"/><Relationship Id="rId327" Type="http://schemas.openxmlformats.org/officeDocument/2006/relationships/hyperlink" Target="https://www.instagram.com/promodescontocupons/" TargetMode="External"/><Relationship Id="rId369" Type="http://schemas.openxmlformats.org/officeDocument/2006/relationships/hyperlink" Target="https://www.tiktok.com/@axadinh0?_t=ZM-8xkPoH3539M&amp;_r=1" TargetMode="External"/><Relationship Id="rId534" Type="http://schemas.openxmlformats.org/officeDocument/2006/relationships/hyperlink" Target="https://www.tiktok.com/@achadosonnline?_t=ZM-8xhsyJXxdhd&amp;_r=1" TargetMode="External"/><Relationship Id="rId576" Type="http://schemas.openxmlformats.org/officeDocument/2006/relationships/hyperlink" Target="https://www.instagram.com/dicadeamiga.a?igsh=MWRsZ2Z6d3F0ZnVpNQ%3D%3D&amp;utm_source=qr" TargetMode="External"/><Relationship Id="rId173" Type="http://schemas.openxmlformats.org/officeDocument/2006/relationships/hyperlink" Target="https://www.instagram.com/topdescontosoficial/" TargetMode="External"/><Relationship Id="rId229" Type="http://schemas.openxmlformats.org/officeDocument/2006/relationships/hyperlink" Target="https://www.instagram.com/canalmaxdicas/" TargetMode="External"/><Relationship Id="rId380" Type="http://schemas.openxmlformats.org/officeDocument/2006/relationships/hyperlink" Target="https://www.tiktok.com/@home_e_ofertas" TargetMode="External"/><Relationship Id="rId436" Type="http://schemas.openxmlformats.org/officeDocument/2006/relationships/hyperlink" Target="https://www.instagram.com/desconto.legal_" TargetMode="External"/><Relationship Id="rId240" Type="http://schemas.openxmlformats.org/officeDocument/2006/relationships/hyperlink" Target="https://www.tiktok.com/@jhuenzooo?_t=ZM-8yzbeudguhR&amp;_r=1" TargetMode="External"/><Relationship Id="rId478" Type="http://schemas.openxmlformats.org/officeDocument/2006/relationships/hyperlink" Target="https://www.tiktok.com/@garagemdoinventor" TargetMode="External"/><Relationship Id="rId35" Type="http://schemas.openxmlformats.org/officeDocument/2006/relationships/hyperlink" Target="http://instagram.com/urubupromo" TargetMode="External"/><Relationship Id="rId77" Type="http://schemas.openxmlformats.org/officeDocument/2006/relationships/hyperlink" Target="https://www.instagram.com/tabaratasso?igsh=MWdmYWhhcnphZmZ5bg%3D%3D&amp;utm_source=qr" TargetMode="External"/><Relationship Id="rId100" Type="http://schemas.openxmlformats.org/officeDocument/2006/relationships/hyperlink" Target="https://www.instagram.com/bugueycomprey/" TargetMode="External"/><Relationship Id="rId282" Type="http://schemas.openxmlformats.org/officeDocument/2006/relationships/hyperlink" Target="https://www.instagram.com/_felipericardoo/" TargetMode="External"/><Relationship Id="rId338" Type="http://schemas.openxmlformats.org/officeDocument/2006/relationships/hyperlink" Target="https://www.tiktok.com/@dicasdemari?_t=ZM-8xihsTwCav7&amp;_r=1" TargetMode="External"/><Relationship Id="rId503" Type="http://schemas.openxmlformats.org/officeDocument/2006/relationships/hyperlink" Target="https://www.instagram.com/maxhobby_modelismo/" TargetMode="External"/><Relationship Id="rId545" Type="http://schemas.openxmlformats.org/officeDocument/2006/relationships/hyperlink" Target="https://www.instagram.com/mamaesbaianas" TargetMode="External"/><Relationship Id="rId587" Type="http://schemas.openxmlformats.org/officeDocument/2006/relationships/hyperlink" Target="https://www.tiktok.com/@agentedasofertas?_t=ZM-8ydVMkLT2kn&amp;_r=1" TargetMode="External"/><Relationship Id="rId8" Type="http://schemas.openxmlformats.org/officeDocument/2006/relationships/hyperlink" Target="https://www.instagram.com/joao_psx/" TargetMode="External"/><Relationship Id="rId142" Type="http://schemas.openxmlformats.org/officeDocument/2006/relationships/hyperlink" Target="https://www.instagram.com/technatela/" TargetMode="External"/><Relationship Id="rId184" Type="http://schemas.openxmlformats.org/officeDocument/2006/relationships/hyperlink" Target="https://www.tiktok.com/@oficinadanetoficial" TargetMode="External"/><Relationship Id="rId391" Type="http://schemas.openxmlformats.org/officeDocument/2006/relationships/hyperlink" Target="https://www.tiktok.com/@girouchegou?lang=pt-BR" TargetMode="External"/><Relationship Id="rId405" Type="http://schemas.openxmlformats.org/officeDocument/2006/relationships/hyperlink" Target="https://www.tiktok.com/@omundodepromos?_t=ZM-8xfxdGfZpBA&amp;_r=1" TargetMode="External"/><Relationship Id="rId447" Type="http://schemas.openxmlformats.org/officeDocument/2006/relationships/hyperlink" Target="https://www.instagram.com/canaljms" TargetMode="External"/><Relationship Id="rId251" Type="http://schemas.openxmlformats.org/officeDocument/2006/relationships/hyperlink" Target="http://nao.uso.essa.rede/" TargetMode="External"/><Relationship Id="rId489" Type="http://schemas.openxmlformats.org/officeDocument/2006/relationships/hyperlink" Target="https://www.instagram.com/crowmantech/" TargetMode="External"/><Relationship Id="rId46" Type="http://schemas.openxmlformats.org/officeDocument/2006/relationships/hyperlink" Target="https://www.instagram.com/danielreen_" TargetMode="External"/><Relationship Id="rId293" Type="http://schemas.openxmlformats.org/officeDocument/2006/relationships/hyperlink" Target="https://www.instagram.com/lokaodaspromo" TargetMode="External"/><Relationship Id="rId307" Type="http://schemas.openxmlformats.org/officeDocument/2006/relationships/hyperlink" Target="https://www.tiktok.com/@digplay" TargetMode="External"/><Relationship Id="rId349" Type="http://schemas.openxmlformats.org/officeDocument/2006/relationships/hyperlink" Target="https://www.instagram.com/achadosrarosvip?igsh=NXd3NWM1c2JrZ3Aw" TargetMode="External"/><Relationship Id="rId514" Type="http://schemas.openxmlformats.org/officeDocument/2006/relationships/hyperlink" Target="https://www.instagram.com/karenetoboer/" TargetMode="External"/><Relationship Id="rId556" Type="http://schemas.openxmlformats.org/officeDocument/2006/relationships/hyperlink" Target="https://www.tiktok.com/@eulindabellaindica" TargetMode="External"/><Relationship Id="rId88" Type="http://schemas.openxmlformats.org/officeDocument/2006/relationships/hyperlink" Target="https://www.instagram.com/bizudaspromocoes/" TargetMode="External"/><Relationship Id="rId111" Type="http://schemas.openxmlformats.org/officeDocument/2006/relationships/hyperlink" Target="https://www.instagram.com/_ofertasgeek/" TargetMode="External"/><Relationship Id="rId153" Type="http://schemas.openxmlformats.org/officeDocument/2006/relationships/hyperlink" Target="https://www.tiktok.com/@cabellosderapunzell?_t=ZM-8xkSRfgHQKE&amp;_r=1" TargetMode="External"/><Relationship Id="rId195" Type="http://schemas.openxmlformats.org/officeDocument/2006/relationships/hyperlink" Target="https://www.instagram.com/achadinhodahora0?igsh=MTNhbTBtamN0bG1zcg%3D%3D&amp;utm_source=qr" TargetMode="External"/><Relationship Id="rId209" Type="http://schemas.openxmlformats.org/officeDocument/2006/relationships/hyperlink" Target="https://www.instagram.com/promoonpromos/" TargetMode="External"/><Relationship Id="rId360" Type="http://schemas.openxmlformats.org/officeDocument/2006/relationships/hyperlink" Target="https://www.instagram.com/recomenda360/" TargetMode="External"/><Relationship Id="rId416" Type="http://schemas.openxmlformats.org/officeDocument/2006/relationships/hyperlink" Target="https://www.instagram.com/ramonmantesso" TargetMode="External"/><Relationship Id="rId220" Type="http://schemas.openxmlformats.org/officeDocument/2006/relationships/hyperlink" Target="https://www.tiktok.com/@promocoesdahoraoficial" TargetMode="External"/><Relationship Id="rId458" Type="http://schemas.openxmlformats.org/officeDocument/2006/relationships/hyperlink" Target="https://www.youtube.com/@ReviewsCurtinhas" TargetMode="External"/><Relationship Id="rId15" Type="http://schemas.openxmlformats.org/officeDocument/2006/relationships/hyperlink" Target="https://www.instagram.com/lipemalestar/" TargetMode="External"/><Relationship Id="rId57" Type="http://schemas.openxmlformats.org/officeDocument/2006/relationships/hyperlink" Target="https://www.instagram.com/so_promocoesdodia?igsh=MTBieDVweDN3eXN5eg==" TargetMode="External"/><Relationship Id="rId262" Type="http://schemas.openxmlformats.org/officeDocument/2006/relationships/hyperlink" Target="https://www.tiktok.com/@odavyjones" TargetMode="External"/><Relationship Id="rId318" Type="http://schemas.openxmlformats.org/officeDocument/2006/relationships/hyperlink" Target="https://www.instagram.com/viciadopromocao" TargetMode="External"/><Relationship Id="rId525" Type="http://schemas.openxmlformats.org/officeDocument/2006/relationships/hyperlink" Target="https://www.tiktok.com/@joaogomeseu" TargetMode="External"/><Relationship Id="rId567" Type="http://schemas.openxmlformats.org/officeDocument/2006/relationships/hyperlink" Target="https://www.tiktok.com/@coisasdepatyy_?_t=ZM-8xiuZb5nAvd&amp;_r=1" TargetMode="External"/><Relationship Id="rId99" Type="http://schemas.openxmlformats.org/officeDocument/2006/relationships/hyperlink" Target="http://instagram.com/lucaspeperaio" TargetMode="External"/><Relationship Id="rId122" Type="http://schemas.openxmlformats.org/officeDocument/2006/relationships/hyperlink" Target="https://www.instagram.com/manualdecompra/" TargetMode="External"/><Relationship Id="rId164" Type="http://schemas.openxmlformats.org/officeDocument/2006/relationships/hyperlink" Target="https://www.instagram.com/maa_teus/" TargetMode="External"/><Relationship Id="rId371" Type="http://schemas.openxmlformats.org/officeDocument/2006/relationships/hyperlink" Target="https://www.instagram.com/livrosblackfriday/" TargetMode="External"/><Relationship Id="rId427" Type="http://schemas.openxmlformats.org/officeDocument/2006/relationships/hyperlink" Target="https://www.instagram.com/achadinhosgarantido?igsh=ZGZlaHNjdjdlODMw" TargetMode="External"/><Relationship Id="rId469" Type="http://schemas.openxmlformats.org/officeDocument/2006/relationships/hyperlink" Target="https://www.instagram.com/cariocapromocoes" TargetMode="External"/><Relationship Id="rId26" Type="http://schemas.openxmlformats.org/officeDocument/2006/relationships/hyperlink" Target="http://tiktok.com/buscopobres" TargetMode="External"/><Relationship Id="rId231" Type="http://schemas.openxmlformats.org/officeDocument/2006/relationships/hyperlink" Target="https://www.instagram.com/oqcomprei/" TargetMode="External"/><Relationship Id="rId273" Type="http://schemas.openxmlformats.org/officeDocument/2006/relationships/hyperlink" Target="https://www.instagram.com/sydescontinho?igsh=MXUxbHFqN3FlNXQ4MA%3D%3D&amp;utm_source=qr" TargetMode="External"/><Relationship Id="rId329" Type="http://schemas.openxmlformats.org/officeDocument/2006/relationships/hyperlink" Target="http://www.ofertaesperta.com/" TargetMode="External"/><Relationship Id="rId480" Type="http://schemas.openxmlformats.org/officeDocument/2006/relationships/hyperlink" Target="https://www.tiktok.com/@spacebikeoficial?_t=ZM-8ydVpGhYWNK&amp;_r=1" TargetMode="External"/><Relationship Id="rId536" Type="http://schemas.openxmlformats.org/officeDocument/2006/relationships/hyperlink" Target="https://www.tiktok.com/@pamferreira.makeup?_t=ZM-8yzLwuX0oLO&amp;_r=1" TargetMode="External"/><Relationship Id="rId68" Type="http://schemas.openxmlformats.org/officeDocument/2006/relationships/hyperlink" Target="https://instagram.com/lapromotion_" TargetMode="External"/><Relationship Id="rId133" Type="http://schemas.openxmlformats.org/officeDocument/2006/relationships/hyperlink" Target="https://www.instagram.com/acheinapromoo/" TargetMode="External"/><Relationship Id="rId175" Type="http://schemas.openxmlformats.org/officeDocument/2006/relationships/hyperlink" Target="https://www.instagram.com/achadosdaccarol?igsh=OTRwZ2Zoa2N6dWlm&amp;utm_source=qr" TargetMode="External"/><Relationship Id="rId340" Type="http://schemas.openxmlformats.org/officeDocument/2006/relationships/hyperlink" Target="https://tiktok.com/@sdmlinks" TargetMode="External"/><Relationship Id="rId578" Type="http://schemas.openxmlformats.org/officeDocument/2006/relationships/hyperlink" Target="https://www.instagram.com/jp_chavesz?igsh=cG1ldnJ1dGk5NW42&amp;utm_source=qr" TargetMode="External"/><Relationship Id="rId200" Type="http://schemas.openxmlformats.org/officeDocument/2006/relationships/hyperlink" Target="https://www.instagram.com/versatilfragrance?igsh=MWoza2RmanBsbzdqeg%3D%3D&amp;utm_source=qr" TargetMode="External"/><Relationship Id="rId382" Type="http://schemas.openxmlformats.org/officeDocument/2006/relationships/hyperlink" Target="https://www.instagram.com/achadosdagabby?igsh=azVzM3V0OWx3NGNh&amp;utm_source=qr" TargetMode="External"/><Relationship Id="rId438" Type="http://schemas.openxmlformats.org/officeDocument/2006/relationships/hyperlink" Target="http://www.instagram.com/pronobkids_" TargetMode="External"/><Relationship Id="rId242" Type="http://schemas.openxmlformats.org/officeDocument/2006/relationships/hyperlink" Target="https://www.tiktok.com/@adivulgadoraa?_t=ZM-8xhlRWr8uGe&amp;_r=1" TargetMode="External"/><Relationship Id="rId284" Type="http://schemas.openxmlformats.org/officeDocument/2006/relationships/hyperlink" Target="https://www.instagram.com/superdicasecupons" TargetMode="External"/><Relationship Id="rId491" Type="http://schemas.openxmlformats.org/officeDocument/2006/relationships/hyperlink" Target="https://www.instagram.com/promosporflavia?" TargetMode="External"/><Relationship Id="rId505" Type="http://schemas.openxmlformats.org/officeDocument/2006/relationships/hyperlink" Target="http://www.instagram.com/promodamilla" TargetMode="External"/><Relationship Id="rId37" Type="http://schemas.openxmlformats.org/officeDocument/2006/relationships/hyperlink" Target="https://www.tiktok.com/@thalisson_tttech" TargetMode="External"/><Relationship Id="rId79" Type="http://schemas.openxmlformats.org/officeDocument/2006/relationships/hyperlink" Target="https://www.instagram.com/fraguas84/" TargetMode="External"/><Relationship Id="rId102" Type="http://schemas.openxmlformats.org/officeDocument/2006/relationships/hyperlink" Target="https://www.instagram.com/babypromokids/" TargetMode="External"/><Relationship Id="rId144" Type="http://schemas.openxmlformats.org/officeDocument/2006/relationships/hyperlink" Target="https://www.instagram.com/promotomofertas/" TargetMode="External"/><Relationship Id="rId547" Type="http://schemas.openxmlformats.org/officeDocument/2006/relationships/hyperlink" Target="https://www.instagram.com/dicasdacoutinho?igsh=MWtocGkxb28yOHltZw%3D%3D&amp;utm_source=qr" TargetMode="External"/><Relationship Id="rId589" Type="http://schemas.openxmlformats.org/officeDocument/2006/relationships/hyperlink" Target="https://www.tiktok.com/@achadosdasamm?_t=ZM-8ygs31DF8TQ&amp;_r=1" TargetMode="External"/><Relationship Id="rId90" Type="http://schemas.openxmlformats.org/officeDocument/2006/relationships/hyperlink" Target="https://www.tiktok.com/@sddescontos?_t=ZM-8xhjbOzsii0&amp;_r=1" TargetMode="External"/><Relationship Id="rId186" Type="http://schemas.openxmlformats.org/officeDocument/2006/relationships/hyperlink" Target="https://www.instagram.com/affili.on/" TargetMode="External"/><Relationship Id="rId351" Type="http://schemas.openxmlformats.org/officeDocument/2006/relationships/hyperlink" Target="https://www.instagram.com/testesedicasdodiego/" TargetMode="External"/><Relationship Id="rId393" Type="http://schemas.openxmlformats.org/officeDocument/2006/relationships/hyperlink" Target="https://www.tiktok.com/@comoclubeoficial" TargetMode="External"/><Relationship Id="rId407" Type="http://schemas.openxmlformats.org/officeDocument/2006/relationships/hyperlink" Target="https://www.tiktok.com/@almaderica?_t=ZM-8xfx2kLy41w&amp;_r=1" TargetMode="External"/><Relationship Id="rId449" Type="http://schemas.openxmlformats.org/officeDocument/2006/relationships/hyperlink" Target="https://www.instagram.com/baratinhosimperdiveis?igsh=MWZld2lxMzM0cng3bw%3D%3D&amp;utm_source=qr" TargetMode="External"/><Relationship Id="rId211" Type="http://schemas.openxmlformats.org/officeDocument/2006/relationships/hyperlink" Target="http://instagram.com/" TargetMode="External"/><Relationship Id="rId253" Type="http://schemas.openxmlformats.org/officeDocument/2006/relationships/hyperlink" Target="https://www.instagram.com/achados.economyza/" TargetMode="External"/><Relationship Id="rId295" Type="http://schemas.openxmlformats.org/officeDocument/2006/relationships/hyperlink" Target="https://www.tiktok.com/@mateus.sef" TargetMode="External"/><Relationship Id="rId309" Type="http://schemas.openxmlformats.org/officeDocument/2006/relationships/hyperlink" Target="https://www.instagram.com/willsabarreto?igsh=MWdvZnd0b3ZtcnBhaw%3D%3D&amp;utm_source=qr" TargetMode="External"/><Relationship Id="rId460" Type="http://schemas.openxmlformats.org/officeDocument/2006/relationships/hyperlink" Target="https://www.instagram.com/achadinhodeverdade?igsh=MXBnamo2aG9lOW9yOQ==" TargetMode="External"/><Relationship Id="rId516" Type="http://schemas.openxmlformats.org/officeDocument/2006/relationships/hyperlink" Target="https://www.tiktok.com/@promosdaligia" TargetMode="External"/><Relationship Id="rId48" Type="http://schemas.openxmlformats.org/officeDocument/2006/relationships/hyperlink" Target="http://www.instagran.com/mastertechjr" TargetMode="External"/><Relationship Id="rId113" Type="http://schemas.openxmlformats.org/officeDocument/2006/relationships/hyperlink" Target="https://www.instagram.com/tuudonapromo" TargetMode="External"/><Relationship Id="rId320" Type="http://schemas.openxmlformats.org/officeDocument/2006/relationships/hyperlink" Target="https://www.instagram.com/eu.deivisonreis/" TargetMode="External"/><Relationship Id="rId558" Type="http://schemas.openxmlformats.org/officeDocument/2006/relationships/hyperlink" Target="https://www.tiktok.com/@elizabethlins.br?_t=ZM-8yzfIY0Y9l2&amp;_r=1" TargetMode="External"/><Relationship Id="rId155" Type="http://schemas.openxmlformats.org/officeDocument/2006/relationships/hyperlink" Target="https://www.tiktok.com/@lucasbenevides.oficial?_t=ZM-8yqVXK9BYPg&amp;_r=1" TargetMode="External"/><Relationship Id="rId197" Type="http://schemas.openxmlformats.org/officeDocument/2006/relationships/hyperlink" Target="https://www.instagram.com/estreladosom?igsh=cnkxam05OXM0bjAw" TargetMode="External"/><Relationship Id="rId362" Type="http://schemas.openxmlformats.org/officeDocument/2006/relationships/hyperlink" Target="https://www.instagram.com/luizaphoffmann/" TargetMode="External"/><Relationship Id="rId418" Type="http://schemas.openxmlformats.org/officeDocument/2006/relationships/hyperlink" Target="https://www.tiktok.com/@gbctec?lang=pt-BR" TargetMode="External"/><Relationship Id="rId222" Type="http://schemas.openxmlformats.org/officeDocument/2006/relationships/hyperlink" Target="https://www.tiktok.com/@passageirode1a?_t=ZM-8z2mH7UvXPk&amp;_r=1" TargetMode="External"/><Relationship Id="rId264" Type="http://schemas.openxmlformats.org/officeDocument/2006/relationships/hyperlink" Target="https://www.tiktok.com/@cantinhodaspromosoficial?_t=ZM-8xmfi0UCyKz&amp;_r=1" TargetMode="External"/><Relationship Id="rId471" Type="http://schemas.openxmlformats.org/officeDocument/2006/relationships/hyperlink" Target="https://www.instagram.com/umamaedentista_?igsh=MXdyZXdmM3VzbDd4cA==" TargetMode="External"/><Relationship Id="rId17" Type="http://schemas.openxmlformats.org/officeDocument/2006/relationships/hyperlink" Target="http://www.instagram.com/canalrodrigomoreira" TargetMode="External"/><Relationship Id="rId59" Type="http://schemas.openxmlformats.org/officeDocument/2006/relationships/hyperlink" Target="https://www.tiktok.com/@clubedopresidente?_t=ZM-8xfxfiIojpd&amp;_r=1" TargetMode="External"/><Relationship Id="rId124" Type="http://schemas.openxmlformats.org/officeDocument/2006/relationships/hyperlink" Target="https://www.instagram.com/felps?igsh=NGh1NnhxeXF3ZjBi&amp;utm_source=qr" TargetMode="External"/><Relationship Id="rId527" Type="http://schemas.openxmlformats.org/officeDocument/2006/relationships/hyperlink" Target="https://www.instagram.com/denissonreal?igsh=MXJhOXI1ZjAycTNmaA%3D%3D&amp;utm_source=qr" TargetMode="External"/><Relationship Id="rId569" Type="http://schemas.openxmlformats.org/officeDocument/2006/relationships/hyperlink" Target="https://www.instagram.com/silverofertasofc/" TargetMode="External"/><Relationship Id="rId70" Type="http://schemas.openxmlformats.org/officeDocument/2006/relationships/hyperlink" Target="https://www.tiktok.com/@clube.kotas" TargetMode="External"/><Relationship Id="rId166" Type="http://schemas.openxmlformats.org/officeDocument/2006/relationships/hyperlink" Target="https://www.tiktok.com/@fscarx?_t=ZM-8ysySvvhsP8&amp;_r=1" TargetMode="External"/><Relationship Id="rId331" Type="http://schemas.openxmlformats.org/officeDocument/2006/relationships/hyperlink" Target="https://www.instagram.com/droneander/" TargetMode="External"/><Relationship Id="rId373" Type="http://schemas.openxmlformats.org/officeDocument/2006/relationships/hyperlink" Target="https://www.instagram.com/cacadordepromocoes1?igsh=NmJqY25tNjZscHkz" TargetMode="External"/><Relationship Id="rId429" Type="http://schemas.openxmlformats.org/officeDocument/2006/relationships/hyperlink" Target="https://www.instagram.com/betechers/" TargetMode="External"/><Relationship Id="rId580" Type="http://schemas.openxmlformats.org/officeDocument/2006/relationships/hyperlink" Target="http://tiktok.com/deolhonoslinks" TargetMode="External"/><Relationship Id="rId1" Type="http://schemas.openxmlformats.org/officeDocument/2006/relationships/hyperlink" Target="https://www.instagram.com/eusoubarone?igsh=cWVvOXQydzdseW15" TargetMode="External"/><Relationship Id="rId233" Type="http://schemas.openxmlformats.org/officeDocument/2006/relationships/hyperlink" Target="https://www.instagram.com/casalperdidinho?igsh=eWhsZ3BjenNzeHBr&amp;utm_source=qr" TargetMode="External"/><Relationship Id="rId440" Type="http://schemas.openxmlformats.org/officeDocument/2006/relationships/hyperlink" Target="https://www.tiktok.com/@eusoumayssa?_t=ZM-8yfNqUj2O0c&amp;_r=1" TargetMode="External"/><Relationship Id="rId28" Type="http://schemas.openxmlformats.org/officeDocument/2006/relationships/hyperlink" Target="https://www.tiktok.com/@promos4m?lang=pt-BR" TargetMode="External"/><Relationship Id="rId275" Type="http://schemas.openxmlformats.org/officeDocument/2006/relationships/hyperlink" Target="https://www.instagram.com/maiaraportooficial/" TargetMode="External"/><Relationship Id="rId300" Type="http://schemas.openxmlformats.org/officeDocument/2006/relationships/hyperlink" Target="https://www.instagram.com/senhorlinguicayt?igsh=NGN0aHZkb3lpY2ls" TargetMode="External"/><Relationship Id="rId482" Type="http://schemas.openxmlformats.org/officeDocument/2006/relationships/hyperlink" Target="https://www.instagram.com/descontofamiliaoficial/" TargetMode="External"/><Relationship Id="rId538" Type="http://schemas.openxmlformats.org/officeDocument/2006/relationships/hyperlink" Target="http://instagram.com/caramelopromos" TargetMode="External"/><Relationship Id="rId81" Type="http://schemas.openxmlformats.org/officeDocument/2006/relationships/hyperlink" Target="https://www.tiktok.com/@tech_variedadesoficial" TargetMode="External"/><Relationship Id="rId135" Type="http://schemas.openxmlformats.org/officeDocument/2006/relationships/hyperlink" Target="https://www.instagram.com/gabpromo_/" TargetMode="External"/><Relationship Id="rId177" Type="http://schemas.openxmlformats.org/officeDocument/2006/relationships/hyperlink" Target="https://www.instagram.com/pobre_pcruim/" TargetMode="External"/><Relationship Id="rId342" Type="http://schemas.openxmlformats.org/officeDocument/2006/relationships/hyperlink" Target="http://www.instagram.com/suaoracao/" TargetMode="External"/><Relationship Id="rId384" Type="http://schemas.openxmlformats.org/officeDocument/2006/relationships/hyperlink" Target="https://www.instagram.com/ressaltandoamor/" TargetMode="External"/><Relationship Id="rId591" Type="http://schemas.openxmlformats.org/officeDocument/2006/relationships/hyperlink" Target="https://www.instagram.com/hellenzinhagomees?igsh=NjBmcjBuZ21uNHh4" TargetMode="External"/><Relationship Id="rId202" Type="http://schemas.openxmlformats.org/officeDocument/2006/relationships/hyperlink" Target="https://www.instagram.com/luandoparedaoo?igsh=MWltZXJ0dGhvdDBwbw==" TargetMode="External"/><Relationship Id="rId244" Type="http://schemas.openxmlformats.org/officeDocument/2006/relationships/hyperlink" Target="https://www.tiktok.com/@xaviertechinformatica?_t=ZM-8xhjlry29VG&amp;_r=1" TargetMode="External"/><Relationship Id="rId39" Type="http://schemas.openxmlformats.org/officeDocument/2006/relationships/hyperlink" Target="https://www.instagram.com/inovaleo/?hl=pt-br" TargetMode="External"/><Relationship Id="rId286" Type="http://schemas.openxmlformats.org/officeDocument/2006/relationships/hyperlink" Target="https://www.instagram.com/economizeiro/" TargetMode="External"/><Relationship Id="rId451" Type="http://schemas.openxmlformats.org/officeDocument/2006/relationships/hyperlink" Target="https://www.instagram.com/achadinhosdegarotasoficial?igsh=MTFnNjM3dWFhc2FhcQ=" TargetMode="External"/><Relationship Id="rId493" Type="http://schemas.openxmlformats.org/officeDocument/2006/relationships/hyperlink" Target="https://www.instagram.com/promos_manubelu?igsh=Y3J6OGNmOGRvYnB0" TargetMode="External"/><Relationship Id="rId507" Type="http://schemas.openxmlformats.org/officeDocument/2006/relationships/hyperlink" Target="https://www.instagram.com/achadinhos4you?igsh=MTZjcmx4ZXp3OWc2OA%3D%3D&amp;utm_source=qr" TargetMode="External"/><Relationship Id="rId549" Type="http://schemas.openxmlformats.org/officeDocument/2006/relationships/hyperlink" Target="https://www.instagram.com/eupreciso.achadinhos" TargetMode="External"/><Relationship Id="rId50" Type="http://schemas.openxmlformats.org/officeDocument/2006/relationships/hyperlink" Target="https://www.tiktok.com/@canalpromotop" TargetMode="External"/><Relationship Id="rId104" Type="http://schemas.openxmlformats.org/officeDocument/2006/relationships/hyperlink" Target="https://www.instagram.com/ninjaofertas_/" TargetMode="External"/><Relationship Id="rId146" Type="http://schemas.openxmlformats.org/officeDocument/2006/relationships/hyperlink" Target="https://economisterpromocoes.com/grupos" TargetMode="External"/><Relationship Id="rId188" Type="http://schemas.openxmlformats.org/officeDocument/2006/relationships/hyperlink" Target="https://www.tiktok.com/@durizzo?_t=ZM-8xhkO7cZTD3&amp;_r=1" TargetMode="External"/><Relationship Id="rId311" Type="http://schemas.openxmlformats.org/officeDocument/2006/relationships/hyperlink" Target="https://www.instagram.com/topofertasbabykids/" TargetMode="External"/><Relationship Id="rId353" Type="http://schemas.openxmlformats.org/officeDocument/2006/relationships/hyperlink" Target="https://www.instagram.com/thpromos1/" TargetMode="External"/><Relationship Id="rId395" Type="http://schemas.openxmlformats.org/officeDocument/2006/relationships/hyperlink" Target="https://www.tiktok.com/@lordpitta" TargetMode="External"/><Relationship Id="rId409" Type="http://schemas.openxmlformats.org/officeDocument/2006/relationships/hyperlink" Target="https://www.tiktok.com/@promodocasal" TargetMode="External"/><Relationship Id="rId560" Type="http://schemas.openxmlformats.org/officeDocument/2006/relationships/hyperlink" Target="https://www.instagram.com/vinialbergoni/profilecard/?igsh=NHB0am5mMG96NXVu" TargetMode="External"/><Relationship Id="rId92" Type="http://schemas.openxmlformats.org/officeDocument/2006/relationships/hyperlink" Target="https://www.tiktok.com/@geek.loko" TargetMode="External"/><Relationship Id="rId213" Type="http://schemas.openxmlformats.org/officeDocument/2006/relationships/hyperlink" Target="https://www.tiktok.com/@rosleonoficial" TargetMode="External"/><Relationship Id="rId420" Type="http://schemas.openxmlformats.org/officeDocument/2006/relationships/hyperlink" Target="https://www.tiktok.com/@lenosanches_" TargetMode="External"/><Relationship Id="rId255" Type="http://schemas.openxmlformats.org/officeDocument/2006/relationships/hyperlink" Target="https://www.instagram.com/indica.pedro?igsh=ZjkyZWFjbTVkeDB5" TargetMode="External"/><Relationship Id="rId297" Type="http://schemas.openxmlformats.org/officeDocument/2006/relationships/hyperlink" Target="https://www.youtube.com/@marcustech" TargetMode="External"/><Relationship Id="rId462" Type="http://schemas.openxmlformats.org/officeDocument/2006/relationships/hyperlink" Target="https://www.instagram.com/brdescontao/" TargetMode="External"/><Relationship Id="rId518" Type="http://schemas.openxmlformats.org/officeDocument/2006/relationships/hyperlink" Target="https://www.tiktok.com/@girldiquinhas?_t=ZM-8yzM3BcETkT&amp;_r=1" TargetMode="External"/><Relationship Id="rId115" Type="http://schemas.openxmlformats.org/officeDocument/2006/relationships/hyperlink" Target="http://www.instagram.com/updesconta" TargetMode="External"/><Relationship Id="rId157" Type="http://schemas.openxmlformats.org/officeDocument/2006/relationships/hyperlink" Target="https://www.tiktok.com/@ladotech.com.br" TargetMode="External"/><Relationship Id="rId322" Type="http://schemas.openxmlformats.org/officeDocument/2006/relationships/hyperlink" Target="https://www.instagram.com/promolowcost/" TargetMode="External"/><Relationship Id="rId364" Type="http://schemas.openxmlformats.org/officeDocument/2006/relationships/hyperlink" Target="https://www.instagram.com/mso729?igsh=ZG5ycnR4Y3M3NXQ3" TargetMode="External"/><Relationship Id="rId61" Type="http://schemas.openxmlformats.org/officeDocument/2006/relationships/hyperlink" Target="https://www.tiktok.com/@techbrcanal?_t=ZM-8yW6ZmJSSVs&amp;_r=1" TargetMode="External"/><Relationship Id="rId199" Type="http://schemas.openxmlformats.org/officeDocument/2006/relationships/hyperlink" Target="https://www.tiktok.com/@wolfpromos" TargetMode="External"/><Relationship Id="rId571" Type="http://schemas.openxmlformats.org/officeDocument/2006/relationships/hyperlink" Target="https://www.instagram.com/raabeluz/" TargetMode="External"/><Relationship Id="rId19" Type="http://schemas.openxmlformats.org/officeDocument/2006/relationships/hyperlink" Target="https://www.instagram.com/rodrigocoelhoc/" TargetMode="External"/><Relationship Id="rId224" Type="http://schemas.openxmlformats.org/officeDocument/2006/relationships/hyperlink" Target="https://www.tiktok.com/@guicasainteligente?_t=ZM-8xg2kGUQD60&amp;_r=1" TargetMode="External"/><Relationship Id="rId266" Type="http://schemas.openxmlformats.org/officeDocument/2006/relationships/hyperlink" Target="https://www.instagram.com/eudanielmarvel" TargetMode="External"/><Relationship Id="rId431" Type="http://schemas.openxmlformats.org/officeDocument/2006/relationships/hyperlink" Target="https://www.instagram.com/link7erick/profilecard/?igsh=MXV5amt5dHlwbHIydQ==" TargetMode="External"/><Relationship Id="rId473" Type="http://schemas.openxmlformats.org/officeDocument/2006/relationships/hyperlink" Target="https://www.facebook.com/share/g/1AvFpiL86T/?mibextid=wwXIfr" TargetMode="External"/><Relationship Id="rId529" Type="http://schemas.openxmlformats.org/officeDocument/2006/relationships/hyperlink" Target="https://www.instagram.com/diariopotterhead_?igsh=MWh6eGRqam4wbHFqdg==" TargetMode="External"/><Relationship Id="rId30" Type="http://schemas.openxmlformats.org/officeDocument/2006/relationships/hyperlink" Target="https://www.tiktok.com/@santostecpromo" TargetMode="External"/><Relationship Id="rId126" Type="http://schemas.openxmlformats.org/officeDocument/2006/relationships/hyperlink" Target="https://www.instagram.com/alupaofertas" TargetMode="External"/><Relationship Id="rId168" Type="http://schemas.openxmlformats.org/officeDocument/2006/relationships/hyperlink" Target="https://www.tiktok.com/@grupo.menor.preco?_t=ZM-8yIPBb9mlVN&amp;_r=1" TargetMode="External"/><Relationship Id="rId333" Type="http://schemas.openxmlformats.org/officeDocument/2006/relationships/hyperlink" Target="https://www.tiktok.com/@tecnoinfo_?_t=ZM-8xgEtE2UKdK&amp;_r=1" TargetMode="External"/><Relationship Id="rId540" Type="http://schemas.openxmlformats.org/officeDocument/2006/relationships/hyperlink" Target="https://www.instagram.com/ofertas_infantil/" TargetMode="External"/><Relationship Id="rId72" Type="http://schemas.openxmlformats.org/officeDocument/2006/relationships/hyperlink" Target="https://www.instagram.com/preguicaofertas/" TargetMode="External"/><Relationship Id="rId375" Type="http://schemas.openxmlformats.org/officeDocument/2006/relationships/hyperlink" Target="https://www.instagram.com/sejamaiseconomico?igsh=MW11aGN0dHR4Z2N3dQ==" TargetMode="External"/><Relationship Id="rId582" Type="http://schemas.openxmlformats.org/officeDocument/2006/relationships/hyperlink" Target="https://www.tiktok.com/@promodecasa.br?_t=ZS-90FHuUSN453&amp;_r=1" TargetMode="External"/><Relationship Id="rId3" Type="http://schemas.openxmlformats.org/officeDocument/2006/relationships/hyperlink" Target="https://x.com/xetdaspromocoes" TargetMode="External"/><Relationship Id="rId235" Type="http://schemas.openxmlformats.org/officeDocument/2006/relationships/hyperlink" Target="https://www.instagram.com/leandro_sejaseupatrao" TargetMode="External"/><Relationship Id="rId277" Type="http://schemas.openxmlformats.org/officeDocument/2006/relationships/hyperlink" Target="https://www.instagram.com/achadinhos.excelentes/" TargetMode="External"/><Relationship Id="rId400" Type="http://schemas.openxmlformats.org/officeDocument/2006/relationships/hyperlink" Target="https://www.tiktok.com/@promolets" TargetMode="External"/><Relationship Id="rId442" Type="http://schemas.openxmlformats.org/officeDocument/2006/relationships/hyperlink" Target="https://www.instagram.com/guisouzabb?igsh=a3czcmZoemtoN2E%3D&amp;utm_source=qr" TargetMode="External"/><Relationship Id="rId484" Type="http://schemas.openxmlformats.org/officeDocument/2006/relationships/hyperlink" Target="https://www.instagram.com/rainhadobugueepromos/" TargetMode="External"/><Relationship Id="rId137" Type="http://schemas.openxmlformats.org/officeDocument/2006/relationships/hyperlink" Target="https://www.instagram.com/achadosebarato?igsh=Nmh4YzU2ZmxqMHd2&amp;utm_source=qr" TargetMode="External"/><Relationship Id="rId302" Type="http://schemas.openxmlformats.org/officeDocument/2006/relationships/hyperlink" Target="http://www.instagram.com/amigacompra" TargetMode="External"/><Relationship Id="rId344" Type="http://schemas.openxmlformats.org/officeDocument/2006/relationships/hyperlink" Target="https://www.instagram.com/infobrpromos/" TargetMode="External"/><Relationship Id="rId41" Type="http://schemas.openxmlformats.org/officeDocument/2006/relationships/hyperlink" Target="https://www.instagram.com/lobaopromo?igsh=MWRsZWlyNWI4bmU1aA==" TargetMode="External"/><Relationship Id="rId83" Type="http://schemas.openxmlformats.org/officeDocument/2006/relationships/hyperlink" Target="https://www.tiktok.com/@samuelf3lipe_" TargetMode="External"/><Relationship Id="rId179" Type="http://schemas.openxmlformats.org/officeDocument/2006/relationships/hyperlink" Target="https://www.instagram.com/danferreiratech/" TargetMode="External"/><Relationship Id="rId386" Type="http://schemas.openxmlformats.org/officeDocument/2006/relationships/hyperlink" Target="https://www.instagram.com/melhorescartoesdecredito/" TargetMode="External"/><Relationship Id="rId551" Type="http://schemas.openxmlformats.org/officeDocument/2006/relationships/hyperlink" Target="https://www.instagram.com/maxwilliam.oficial?igsh=MWluN3dldTIyNjVjYQ==" TargetMode="External"/><Relationship Id="rId593" Type="http://schemas.openxmlformats.org/officeDocument/2006/relationships/hyperlink" Target="https://s.shopee.com.br/z5oydPrs" TargetMode="External"/><Relationship Id="rId190" Type="http://schemas.openxmlformats.org/officeDocument/2006/relationships/hyperlink" Target="http://tiktok.com/" TargetMode="External"/><Relationship Id="rId204" Type="http://schemas.openxmlformats.org/officeDocument/2006/relationships/hyperlink" Target="http://instagram.com/ofertaodovinil" TargetMode="External"/><Relationship Id="rId246" Type="http://schemas.openxmlformats.org/officeDocument/2006/relationships/hyperlink" Target="https://www.instagram.com/matheuscoutomga?igsh=Mnk1cG5qb3Jsd25n&amp;utm_source=qr" TargetMode="External"/><Relationship Id="rId288" Type="http://schemas.openxmlformats.org/officeDocument/2006/relationships/hyperlink" Target="https://www.tiktok.com/@malucasdapromo?_t=ZM-8y6xUHKqwEv&amp;_r=1" TargetMode="External"/><Relationship Id="rId411" Type="http://schemas.openxmlformats.org/officeDocument/2006/relationships/hyperlink" Target="https://www.tiktok.com/@outletdaspromocoess" TargetMode="External"/><Relationship Id="rId453" Type="http://schemas.openxmlformats.org/officeDocument/2006/relationships/hyperlink" Target="https://www.instagram.com/promobabyoficial" TargetMode="External"/><Relationship Id="rId509" Type="http://schemas.openxmlformats.org/officeDocument/2006/relationships/hyperlink" Target="https://www.instagram.com/danielsonnora/" TargetMode="External"/><Relationship Id="rId106" Type="http://schemas.openxmlformats.org/officeDocument/2006/relationships/hyperlink" Target="https://www.tiktok.com/@tosemkit" TargetMode="External"/><Relationship Id="rId313" Type="http://schemas.openxmlformats.org/officeDocument/2006/relationships/hyperlink" Target="https://www.instagram.com/mathvsl" TargetMode="External"/><Relationship Id="rId495" Type="http://schemas.openxmlformats.org/officeDocument/2006/relationships/hyperlink" Target="https://www.instagram.com/caceieachei?igsh=cGNpOG94eGpyemdk&amp;utm_source=qr" TargetMode="External"/><Relationship Id="rId10" Type="http://schemas.openxmlformats.org/officeDocument/2006/relationships/hyperlink" Target="https://www.instagram.com/vrltecnologia/" TargetMode="External"/><Relationship Id="rId52" Type="http://schemas.openxmlformats.org/officeDocument/2006/relationships/hyperlink" Target="https://www.tiktok.com/@jeffrecomenda?_t=ZM-8yqmv34HBgM&amp;_r=1" TargetMode="External"/><Relationship Id="rId94" Type="http://schemas.openxmlformats.org/officeDocument/2006/relationships/hyperlink" Target="https://www.tiktok.com/@pinceiofertas?_t=ZM-8ysPAlXUzzC&amp;_r=1" TargetMode="External"/><Relationship Id="rId148" Type="http://schemas.openxmlformats.org/officeDocument/2006/relationships/hyperlink" Target="http://www.youtube.com/c/SamuelCout" TargetMode="External"/><Relationship Id="rId355" Type="http://schemas.openxmlformats.org/officeDocument/2006/relationships/hyperlink" Target="https://www.tiktok.com/@fotosdefatos" TargetMode="External"/><Relationship Id="rId397" Type="http://schemas.openxmlformats.org/officeDocument/2006/relationships/hyperlink" Target="https://www.tiktok.com/@carolinalalencar?_t=ZM-8ydNYRqgUb7&amp;_r=1" TargetMode="External"/><Relationship Id="rId520" Type="http://schemas.openxmlformats.org/officeDocument/2006/relationships/hyperlink" Target="https://www.tiktok.com/@beautyporlivia?_t=ZM-8xgEqwlNIWu&amp;_r=1" TargetMode="External"/><Relationship Id="rId562" Type="http://schemas.openxmlformats.org/officeDocument/2006/relationships/hyperlink" Target="https://www.instagram.com/rafaelazagarelli?" TargetMode="External"/><Relationship Id="rId215" Type="http://schemas.openxmlformats.org/officeDocument/2006/relationships/hyperlink" Target="https://www.instagram.com/donnadescontos/" TargetMode="External"/><Relationship Id="rId257" Type="http://schemas.openxmlformats.org/officeDocument/2006/relationships/hyperlink" Target="https://www.instagram.com/mosterofertas/?hl=en" TargetMode="External"/><Relationship Id="rId422" Type="http://schemas.openxmlformats.org/officeDocument/2006/relationships/hyperlink" Target="https://www.instagram.com/brasilencontreiachados?igsh=ZHdpNjN1OWVyajVr&amp;utm_source=qr" TargetMode="External"/><Relationship Id="rId464" Type="http://schemas.openxmlformats.org/officeDocument/2006/relationships/hyperlink" Target="https://www.instagram.com/promocao_kids_brasil?igsh=dnp2ZGdxY2MwaHRk" TargetMode="External"/><Relationship Id="rId299" Type="http://schemas.openxmlformats.org/officeDocument/2006/relationships/hyperlink" Target="https://www.tiktok.com/@dayanepatriarca_?_t=ZM-8ydNYa7KKYf&amp;_r=1" TargetMode="External"/><Relationship Id="rId63" Type="http://schemas.openxmlformats.org/officeDocument/2006/relationships/hyperlink" Target="https://www.tiktok.com/@tem.promo" TargetMode="External"/><Relationship Id="rId159" Type="http://schemas.openxmlformats.org/officeDocument/2006/relationships/hyperlink" Target="https://www.tiktok.com/@rafaelpachecotech" TargetMode="External"/><Relationship Id="rId366" Type="http://schemas.openxmlformats.org/officeDocument/2006/relationships/hyperlink" Target="https://www.instagram.com/oreneparaiso/" TargetMode="External"/><Relationship Id="rId573" Type="http://schemas.openxmlformats.org/officeDocument/2006/relationships/hyperlink" Target="https://www.tiktok.com/@metodoitnp?is_from_webapp=1&amp;sender_device=pc" TargetMode="External"/><Relationship Id="rId226" Type="http://schemas.openxmlformats.org/officeDocument/2006/relationships/hyperlink" Target="https://www.instagram.com/promosday_tec?igsh=MW01aWsycG5ka3NrZA==" TargetMode="External"/><Relationship Id="rId433" Type="http://schemas.openxmlformats.org/officeDocument/2006/relationships/hyperlink" Target="https://www.instagram.com/ale.slodi/" TargetMode="External"/><Relationship Id="rId74" Type="http://schemas.openxmlformats.org/officeDocument/2006/relationships/hyperlink" Target="https://www.instagram.com/garimpei.ofertas/" TargetMode="External"/><Relationship Id="rId377" Type="http://schemas.openxmlformats.org/officeDocument/2006/relationships/hyperlink" Target="https://www.instagram.com/debikenamontanha?igsh=NWNsdmYxNmhzcG9s&amp;utm_source=qr" TargetMode="External"/><Relationship Id="rId500" Type="http://schemas.openxmlformats.org/officeDocument/2006/relationships/hyperlink" Target="https://www.tiktok.com/@_larissasntana?_t=ZM-8xgiQ5VijXM&amp;_r=1" TargetMode="External"/><Relationship Id="rId584" Type="http://schemas.openxmlformats.org/officeDocument/2006/relationships/hyperlink" Target="https://www.tiktok.com/@oapecentoedois?_t=ZM-90FIBZQKrCS&amp;_r=1" TargetMode="External"/><Relationship Id="rId5" Type="http://schemas.openxmlformats.org/officeDocument/2006/relationships/hyperlink" Target="https://www.tiktok.com/@jersu" TargetMode="External"/><Relationship Id="rId237" Type="http://schemas.openxmlformats.org/officeDocument/2006/relationships/hyperlink" Target="https://www.instagram.com/achadinhodadri" TargetMode="External"/><Relationship Id="rId444" Type="http://schemas.openxmlformats.org/officeDocument/2006/relationships/hyperlink" Target="https://www.instagram.com/ratadosachados?igsh=cDhnOW40MWZ2Y2g%3D&amp;utm_source=qr" TargetMode="External"/><Relationship Id="rId290" Type="http://schemas.openxmlformats.org/officeDocument/2006/relationships/hyperlink" Target="https://www.instagram.com/quartetofantasticodapri?igsh=MXExZGlxY3ZpOWNuZg==" TargetMode="External"/><Relationship Id="rId304" Type="http://schemas.openxmlformats.org/officeDocument/2006/relationships/hyperlink" Target="https://www.instagram.com/arainhadaspromocoes" TargetMode="External"/><Relationship Id="rId388" Type="http://schemas.openxmlformats.org/officeDocument/2006/relationships/hyperlink" Target="https://www.tiktok.com/@caryne_rocha?_t=ZM-8xjSbOm7LvE&amp;_r=1" TargetMode="External"/><Relationship Id="rId511" Type="http://schemas.openxmlformats.org/officeDocument/2006/relationships/hyperlink" Target="https://www.tiktok.com/@julianefrois?_t=ZM-8yzOOO2CKHA&amp;_r=1" TargetMode="External"/><Relationship Id="rId85" Type="http://schemas.openxmlformats.org/officeDocument/2006/relationships/hyperlink" Target="https://www.tiktok.com/@tjgamingbr_?_t=ZM-8z4IhQdgP4A&amp;_r=1" TargetMode="External"/><Relationship Id="rId150" Type="http://schemas.openxmlformats.org/officeDocument/2006/relationships/hyperlink" Target="https://www.tiktok.com/@iskandar_souza" TargetMode="External"/><Relationship Id="rId595" Type="http://schemas.openxmlformats.org/officeDocument/2006/relationships/hyperlink" Target="https://www.tiktok.com/@eaiqualcomprar.br" TargetMode="External"/><Relationship Id="rId248" Type="http://schemas.openxmlformats.org/officeDocument/2006/relationships/hyperlink" Target="https://www.instagram.com/guiadecomprasfh" TargetMode="External"/><Relationship Id="rId455" Type="http://schemas.openxmlformats.org/officeDocument/2006/relationships/hyperlink" Target="https://www.instagram.com/garotasdaspromo/" TargetMode="External"/><Relationship Id="rId12" Type="http://schemas.openxmlformats.org/officeDocument/2006/relationships/hyperlink" Target="http://www.instagram.com/thautec" TargetMode="External"/><Relationship Id="rId108" Type="http://schemas.openxmlformats.org/officeDocument/2006/relationships/hyperlink" Target="https://www.instagram.com/rodrigoapolloni/" TargetMode="External"/><Relationship Id="rId315" Type="http://schemas.openxmlformats.org/officeDocument/2006/relationships/hyperlink" Target="https://www.instagram.com/guigagamesoficial/" TargetMode="External"/><Relationship Id="rId522" Type="http://schemas.openxmlformats.org/officeDocument/2006/relationships/hyperlink" Target="https://www.tiktok.com/@minadagabii?_t=ZM-8xhsb8jJt2r&amp;_r=1" TargetMode="External"/><Relationship Id="rId96" Type="http://schemas.openxmlformats.org/officeDocument/2006/relationships/hyperlink" Target="https://www.tiktok.com/@ofertasgamer_oficial" TargetMode="External"/><Relationship Id="rId161" Type="http://schemas.openxmlformats.org/officeDocument/2006/relationships/hyperlink" Target="https://www.tiktok.com/@aquitempechincha" TargetMode="External"/><Relationship Id="rId399" Type="http://schemas.openxmlformats.org/officeDocument/2006/relationships/hyperlink" Target="https://www.instagram.com/promo.lets/" TargetMode="External"/><Relationship Id="rId259" Type="http://schemas.openxmlformats.org/officeDocument/2006/relationships/hyperlink" Target="https://www.instagram.com/robertodaroz/" TargetMode="External"/><Relationship Id="rId466" Type="http://schemas.openxmlformats.org/officeDocument/2006/relationships/hyperlink" Target="https://www.instagram.com/ky.ster1?igsh=MTl1YmxkNDV0enhqaA==" TargetMode="External"/><Relationship Id="rId23" Type="http://schemas.openxmlformats.org/officeDocument/2006/relationships/hyperlink" Target="http://instagram.com/promocaozinha" TargetMode="External"/><Relationship Id="rId119" Type="http://schemas.openxmlformats.org/officeDocument/2006/relationships/hyperlink" Target="https://www.tiktok.com/@adrenalinecombr" TargetMode="External"/><Relationship Id="rId326" Type="http://schemas.openxmlformats.org/officeDocument/2006/relationships/hyperlink" Target="https://www.tiktok.com/@iuriindica" TargetMode="External"/><Relationship Id="rId533" Type="http://schemas.openxmlformats.org/officeDocument/2006/relationships/hyperlink" Target="https://www.instagram.com/seusachadosonline?igsh=N252dThweGNpamd2&amp;utm_source=qr" TargetMode="External"/><Relationship Id="rId172" Type="http://schemas.openxmlformats.org/officeDocument/2006/relationships/hyperlink" Target="https://www.tiktok.com/@emipefps" TargetMode="External"/><Relationship Id="rId477" Type="http://schemas.openxmlformats.org/officeDocument/2006/relationships/hyperlink" Target="https://www.instagram.com/garagemdoinventor/" TargetMode="External"/><Relationship Id="rId337" Type="http://schemas.openxmlformats.org/officeDocument/2006/relationships/hyperlink" Target="https://www.instagram.com/descomplicabeleza/" TargetMode="External"/><Relationship Id="rId34" Type="http://schemas.openxmlformats.org/officeDocument/2006/relationships/hyperlink" Target="https://www.tiktok.com/@pcdofafa?_t=ZM-8yzfN0wUGqz&amp;_r=1" TargetMode="External"/><Relationship Id="rId544" Type="http://schemas.openxmlformats.org/officeDocument/2006/relationships/hyperlink" Target="https://www.instagram.com/diego1.rodrigues?igsh=MTB5d2Z3cDJpMHZ5dw==" TargetMode="External"/><Relationship Id="rId183" Type="http://schemas.openxmlformats.org/officeDocument/2006/relationships/hyperlink" Target="https://www.instagram.com/oficinadanetoficial/?hl=pt-br" TargetMode="External"/><Relationship Id="rId390" Type="http://schemas.openxmlformats.org/officeDocument/2006/relationships/hyperlink" Target="https://www.instagram.com/girouchegouyt/" TargetMode="External"/><Relationship Id="rId404" Type="http://schemas.openxmlformats.org/officeDocument/2006/relationships/hyperlink" Target="https://www.instagram.com/omundodepromos" TargetMode="External"/><Relationship Id="rId250" Type="http://schemas.openxmlformats.org/officeDocument/2006/relationships/hyperlink" Target="https://www.tiktok.com/@apromoperfeita" TargetMode="External"/><Relationship Id="rId488" Type="http://schemas.openxmlformats.org/officeDocument/2006/relationships/hyperlink" Target="https://tiktok.com/grupodescontador" TargetMode="External"/><Relationship Id="rId45" Type="http://schemas.openxmlformats.org/officeDocument/2006/relationships/hyperlink" Target="https://www.instagram.com/pegar.promo" TargetMode="External"/><Relationship Id="rId110" Type="http://schemas.openxmlformats.org/officeDocument/2006/relationships/hyperlink" Target="http://promodica.com.br/" TargetMode="External"/><Relationship Id="rId348" Type="http://schemas.openxmlformats.org/officeDocument/2006/relationships/hyperlink" Target="https://www.instagram.com/perigodaspromos?igsh=bHVnYXhzejl0aDYz" TargetMode="External"/><Relationship Id="rId555" Type="http://schemas.openxmlformats.org/officeDocument/2006/relationships/hyperlink" Target="https://www.youtube.com/@AnaliseIncriv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topLeftCell="E143" workbookViewId="0">
      <selection activeCell="E87" sqref="E87"/>
    </sheetView>
  </sheetViews>
  <sheetFormatPr defaultColWidth="12.5703125" defaultRowHeight="15.75" customHeight="1"/>
  <cols>
    <col min="2" max="2" width="13.42578125" customWidth="1"/>
    <col min="3" max="3" width="14.42578125" customWidth="1"/>
    <col min="4" max="4" width="15" customWidth="1"/>
    <col min="5" max="5" width="191.42578125" customWidth="1"/>
    <col min="6" max="6" width="24.7109375" customWidth="1"/>
  </cols>
  <sheetData>
    <row r="1" spans="1:25" ht="2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516</v>
      </c>
      <c r="G1" s="4" t="s">
        <v>517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s="24" customFormat="1" ht="12.75">
      <c r="A2" s="7">
        <v>84848607</v>
      </c>
      <c r="B2" s="7" t="s">
        <v>5</v>
      </c>
      <c r="C2" s="23" t="s">
        <v>6</v>
      </c>
      <c r="D2" s="23" t="s">
        <v>7</v>
      </c>
      <c r="E2" s="5" t="s">
        <v>8</v>
      </c>
      <c r="F2" s="26" t="s">
        <v>510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s="24" customFormat="1" ht="12.75">
      <c r="A3" s="7">
        <v>94733098</v>
      </c>
      <c r="B3" s="7" t="s">
        <v>5</v>
      </c>
      <c r="C3" s="23" t="s">
        <v>6</v>
      </c>
      <c r="D3" s="23" t="s">
        <v>7</v>
      </c>
      <c r="E3" s="5" t="s">
        <v>9</v>
      </c>
      <c r="F3" s="27" t="s">
        <v>507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s="24" customFormat="1" ht="36">
      <c r="A4" s="7">
        <v>224168003</v>
      </c>
      <c r="B4" s="7" t="s">
        <v>5</v>
      </c>
      <c r="C4" s="23" t="s">
        <v>6</v>
      </c>
      <c r="D4" s="23" t="s">
        <v>7</v>
      </c>
      <c r="E4" s="6" t="s">
        <v>10</v>
      </c>
      <c r="F4" s="28" t="s">
        <v>506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s="24" customFormat="1" ht="12.75">
      <c r="A5" s="7">
        <v>288063877</v>
      </c>
      <c r="B5" s="7" t="s">
        <v>5</v>
      </c>
      <c r="C5" s="23" t="s">
        <v>6</v>
      </c>
      <c r="D5" s="23" t="s">
        <v>7</v>
      </c>
      <c r="E5" s="5" t="s">
        <v>11</v>
      </c>
      <c r="F5" s="27" t="s">
        <v>507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s="24" customFormat="1" ht="12.75">
      <c r="A6" s="7">
        <v>473343832</v>
      </c>
      <c r="B6" s="7" t="s">
        <v>5</v>
      </c>
      <c r="C6" s="23" t="s">
        <v>6</v>
      </c>
      <c r="D6" s="23" t="s">
        <v>7</v>
      </c>
      <c r="E6" s="5" t="s">
        <v>12</v>
      </c>
      <c r="F6" s="27" t="s">
        <v>507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s="24" customFormat="1" ht="12.75">
      <c r="A7" s="7">
        <v>1299080285</v>
      </c>
      <c r="B7" s="7" t="s">
        <v>5</v>
      </c>
      <c r="C7" s="23" t="s">
        <v>6</v>
      </c>
      <c r="D7" s="23" t="s">
        <v>7</v>
      </c>
      <c r="E7" s="5" t="s">
        <v>13</v>
      </c>
      <c r="F7" s="27" t="s">
        <v>507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s="24" customFormat="1" ht="12.75">
      <c r="A8" s="7">
        <v>1334764746</v>
      </c>
      <c r="B8" s="7" t="s">
        <v>5</v>
      </c>
      <c r="C8" s="23" t="s">
        <v>6</v>
      </c>
      <c r="D8" s="23" t="s">
        <v>7</v>
      </c>
      <c r="E8" s="5" t="s">
        <v>14</v>
      </c>
      <c r="F8" s="27" t="s">
        <v>507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s="24" customFormat="1" ht="12.75">
      <c r="A9" s="7">
        <v>1374758175</v>
      </c>
      <c r="B9" s="7" t="s">
        <v>5</v>
      </c>
      <c r="C9" s="23" t="s">
        <v>6</v>
      </c>
      <c r="D9" s="23" t="s">
        <v>7</v>
      </c>
      <c r="E9" s="5" t="s">
        <v>15</v>
      </c>
      <c r="F9" s="27" t="s">
        <v>507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s="24" customFormat="1" ht="24">
      <c r="A10" s="7">
        <v>1399249654</v>
      </c>
      <c r="B10" s="7" t="s">
        <v>5</v>
      </c>
      <c r="C10" s="23" t="s">
        <v>6</v>
      </c>
      <c r="D10" s="23" t="s">
        <v>7</v>
      </c>
      <c r="E10" s="5" t="s">
        <v>16</v>
      </c>
      <c r="F10" s="28" t="s">
        <v>505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s="24" customFormat="1" ht="12.75">
      <c r="A11" s="7">
        <v>1428402957</v>
      </c>
      <c r="B11" s="7" t="s">
        <v>5</v>
      </c>
      <c r="C11" s="23" t="s">
        <v>6</v>
      </c>
      <c r="D11" s="23" t="s">
        <v>7</v>
      </c>
      <c r="E11" s="5" t="s">
        <v>17</v>
      </c>
      <c r="F11" s="27" t="s">
        <v>507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s="24" customFormat="1" ht="12.75">
      <c r="A12" s="7">
        <v>1438016577</v>
      </c>
      <c r="B12" s="7" t="s">
        <v>5</v>
      </c>
      <c r="C12" s="23" t="s">
        <v>6</v>
      </c>
      <c r="D12" s="23" t="s">
        <v>7</v>
      </c>
      <c r="E12" s="5" t="s">
        <v>18</v>
      </c>
      <c r="F12" s="27" t="s">
        <v>507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s="24" customFormat="1" ht="12.75">
      <c r="A13" s="7">
        <v>1463526269</v>
      </c>
      <c r="B13" s="7" t="s">
        <v>5</v>
      </c>
      <c r="C13" s="23" t="s">
        <v>6</v>
      </c>
      <c r="D13" s="23" t="s">
        <v>7</v>
      </c>
      <c r="E13" s="5" t="s">
        <v>19</v>
      </c>
      <c r="F13" s="27" t="s">
        <v>507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s="24" customFormat="1" ht="12.75">
      <c r="A14" s="7">
        <v>1528968155</v>
      </c>
      <c r="B14" s="7" t="s">
        <v>5</v>
      </c>
      <c r="C14" s="23" t="s">
        <v>6</v>
      </c>
      <c r="D14" s="23" t="s">
        <v>7</v>
      </c>
      <c r="E14" s="5" t="s">
        <v>20</v>
      </c>
      <c r="F14" s="27" t="s">
        <v>507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s="24" customFormat="1" ht="12.75">
      <c r="A15" s="7">
        <v>1531640488</v>
      </c>
      <c r="B15" s="7" t="s">
        <v>5</v>
      </c>
      <c r="C15" s="23" t="s">
        <v>6</v>
      </c>
      <c r="D15" s="23" t="s">
        <v>7</v>
      </c>
      <c r="E15" s="5" t="s">
        <v>21</v>
      </c>
      <c r="F15" s="27" t="s">
        <v>507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s="24" customFormat="1" ht="12.75">
      <c r="A16" s="7">
        <v>1880667258</v>
      </c>
      <c r="B16" s="7" t="s">
        <v>5</v>
      </c>
      <c r="C16" s="23" t="s">
        <v>6</v>
      </c>
      <c r="D16" s="23" t="s">
        <v>7</v>
      </c>
      <c r="E16" s="5" t="s">
        <v>22</v>
      </c>
      <c r="F16" s="26" t="s">
        <v>510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s="24" customFormat="1" ht="12.75">
      <c r="A17" s="7">
        <v>2313173804</v>
      </c>
      <c r="B17" s="7" t="s">
        <v>5</v>
      </c>
      <c r="C17" s="23" t="s">
        <v>6</v>
      </c>
      <c r="D17" s="23" t="s">
        <v>7</v>
      </c>
      <c r="E17" s="5" t="s">
        <v>23</v>
      </c>
      <c r="F17" s="27" t="s">
        <v>507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s="24" customFormat="1" ht="12.75">
      <c r="A18" s="7">
        <v>2418855877</v>
      </c>
      <c r="B18" s="7" t="s">
        <v>5</v>
      </c>
      <c r="C18" s="23" t="s">
        <v>6</v>
      </c>
      <c r="D18" s="23" t="s">
        <v>7</v>
      </c>
      <c r="E18" s="5" t="s">
        <v>24</v>
      </c>
      <c r="F18" s="27" t="s">
        <v>507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s="24" customFormat="1" ht="12.75">
      <c r="A19" s="7">
        <v>129828195</v>
      </c>
      <c r="B19" s="7" t="s">
        <v>5</v>
      </c>
      <c r="C19" s="23" t="s">
        <v>6</v>
      </c>
      <c r="D19" s="23" t="s">
        <v>7</v>
      </c>
      <c r="E19" s="5" t="s">
        <v>25</v>
      </c>
      <c r="F19" s="28" t="s">
        <v>505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s="24" customFormat="1" ht="12.75">
      <c r="A20" s="7">
        <v>132598358</v>
      </c>
      <c r="B20" s="7" t="s">
        <v>5</v>
      </c>
      <c r="C20" s="23" t="s">
        <v>6</v>
      </c>
      <c r="D20" s="23" t="s">
        <v>7</v>
      </c>
      <c r="E20" s="5" t="s">
        <v>26</v>
      </c>
      <c r="F20" s="27" t="s">
        <v>507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s="24" customFormat="1" ht="12.75">
      <c r="A21" s="7">
        <v>229491441</v>
      </c>
      <c r="B21" s="7" t="s">
        <v>5</v>
      </c>
      <c r="C21" s="23" t="s">
        <v>6</v>
      </c>
      <c r="D21" s="23" t="s">
        <v>7</v>
      </c>
      <c r="E21" s="5" t="s">
        <v>27</v>
      </c>
      <c r="F21" s="27" t="s">
        <v>507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s="24" customFormat="1" ht="12.75">
      <c r="A22" s="7">
        <v>678565811</v>
      </c>
      <c r="B22" s="7" t="s">
        <v>5</v>
      </c>
      <c r="C22" s="23" t="s">
        <v>6</v>
      </c>
      <c r="D22" s="23" t="s">
        <v>7</v>
      </c>
      <c r="E22" s="5" t="s">
        <v>28</v>
      </c>
      <c r="F22" s="26" t="s">
        <v>510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s="24" customFormat="1" ht="12.75">
      <c r="A23" s="7">
        <v>1487189700</v>
      </c>
      <c r="B23" s="7" t="s">
        <v>5</v>
      </c>
      <c r="C23" s="23" t="s">
        <v>6</v>
      </c>
      <c r="D23" s="23" t="s">
        <v>7</v>
      </c>
      <c r="E23" s="5" t="s">
        <v>29</v>
      </c>
      <c r="F23" s="26" t="s">
        <v>515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s="24" customFormat="1" ht="12.75">
      <c r="A24" s="7">
        <v>2057503925</v>
      </c>
      <c r="B24" s="7" t="s">
        <v>5</v>
      </c>
      <c r="C24" s="23" t="s">
        <v>6</v>
      </c>
      <c r="D24" s="23" t="s">
        <v>7</v>
      </c>
      <c r="E24" s="5" t="s">
        <v>30</v>
      </c>
      <c r="F24" s="27" t="s">
        <v>507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s="24" customFormat="1" ht="12.75">
      <c r="A25" s="7">
        <v>1334764746</v>
      </c>
      <c r="B25" s="7" t="s">
        <v>5</v>
      </c>
      <c r="C25" s="23" t="s">
        <v>6</v>
      </c>
      <c r="D25" s="23" t="s">
        <v>7</v>
      </c>
      <c r="E25" s="5" t="s">
        <v>31</v>
      </c>
      <c r="F25" s="28" t="s">
        <v>505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s="24" customFormat="1" ht="12.75">
      <c r="A26" s="7">
        <v>231841011</v>
      </c>
      <c r="B26" s="7" t="s">
        <v>5</v>
      </c>
      <c r="C26" s="23" t="s">
        <v>6</v>
      </c>
      <c r="D26" s="23" t="s">
        <v>7</v>
      </c>
      <c r="E26" s="5" t="s">
        <v>32</v>
      </c>
      <c r="F26" s="27" t="s">
        <v>507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s="24" customFormat="1" ht="12.75">
      <c r="A27" s="7">
        <v>676651691</v>
      </c>
      <c r="B27" s="7" t="s">
        <v>5</v>
      </c>
      <c r="C27" s="23" t="s">
        <v>6</v>
      </c>
      <c r="D27" s="23" t="s">
        <v>7</v>
      </c>
      <c r="E27" s="5" t="s">
        <v>33</v>
      </c>
      <c r="F27" s="27" t="s">
        <v>507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s="24" customFormat="1" ht="12.75">
      <c r="A28" s="7">
        <v>1167640603</v>
      </c>
      <c r="B28" s="7" t="s">
        <v>5</v>
      </c>
      <c r="C28" s="23" t="s">
        <v>6</v>
      </c>
      <c r="D28" s="23" t="s">
        <v>7</v>
      </c>
      <c r="E28" s="5" t="s">
        <v>34</v>
      </c>
      <c r="F28" s="27" t="s">
        <v>507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s="24" customFormat="1" ht="12.75">
      <c r="A29" s="7">
        <v>1369622787</v>
      </c>
      <c r="B29" s="7" t="s">
        <v>5</v>
      </c>
      <c r="C29" s="23" t="s">
        <v>6</v>
      </c>
      <c r="D29" s="23" t="s">
        <v>7</v>
      </c>
      <c r="E29" s="5" t="s">
        <v>35</v>
      </c>
      <c r="F29" s="27" t="s">
        <v>507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s="24" customFormat="1" ht="12.75">
      <c r="A30" s="7">
        <v>1890922253</v>
      </c>
      <c r="B30" s="7" t="s">
        <v>5</v>
      </c>
      <c r="C30" s="23" t="s">
        <v>6</v>
      </c>
      <c r="D30" s="23" t="s">
        <v>7</v>
      </c>
      <c r="E30" s="5" t="s">
        <v>36</v>
      </c>
      <c r="F30" s="27" t="s">
        <v>507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s="24" customFormat="1" ht="12.75">
      <c r="A31" s="7">
        <v>229837054</v>
      </c>
      <c r="B31" s="7" t="s">
        <v>5</v>
      </c>
      <c r="C31" s="23" t="s">
        <v>6</v>
      </c>
      <c r="D31" s="23" t="s">
        <v>7</v>
      </c>
      <c r="E31" s="5" t="s">
        <v>37</v>
      </c>
      <c r="F31" s="27" t="s">
        <v>507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s="24" customFormat="1" ht="12.75">
      <c r="A32" s="7">
        <v>161561413</v>
      </c>
      <c r="B32" s="7" t="s">
        <v>5</v>
      </c>
      <c r="C32" s="23" t="s">
        <v>6</v>
      </c>
      <c r="D32" s="23" t="s">
        <v>7</v>
      </c>
      <c r="E32" s="5" t="s">
        <v>38</v>
      </c>
      <c r="F32" s="27" t="s">
        <v>507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s="24" customFormat="1" ht="12.75">
      <c r="A33" s="7">
        <v>2359144247</v>
      </c>
      <c r="B33" s="7" t="s">
        <v>5</v>
      </c>
      <c r="C33" s="23" t="s">
        <v>6</v>
      </c>
      <c r="D33" s="23" t="s">
        <v>7</v>
      </c>
      <c r="E33" s="5" t="s">
        <v>39</v>
      </c>
      <c r="F33" s="27" t="s">
        <v>507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s="24" customFormat="1" ht="51">
      <c r="A34" s="7">
        <v>1813105314</v>
      </c>
      <c r="B34" s="7" t="s">
        <v>5</v>
      </c>
      <c r="C34" s="23" t="s">
        <v>6</v>
      </c>
      <c r="D34" s="23" t="s">
        <v>7</v>
      </c>
      <c r="E34" s="5" t="s">
        <v>40</v>
      </c>
      <c r="F34" s="28" t="s">
        <v>507</v>
      </c>
      <c r="G34" s="28" t="s">
        <v>511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s="24" customFormat="1" ht="12.75">
      <c r="A35" s="7">
        <v>1377978276</v>
      </c>
      <c r="B35" s="7" t="s">
        <v>5</v>
      </c>
      <c r="C35" s="23" t="s">
        <v>6</v>
      </c>
      <c r="D35" s="23" t="s">
        <v>7</v>
      </c>
      <c r="E35" s="5" t="s">
        <v>41</v>
      </c>
      <c r="F35" s="27" t="s">
        <v>507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s="24" customFormat="1" ht="12.75">
      <c r="A36" s="7">
        <v>1494770433</v>
      </c>
      <c r="B36" s="7" t="s">
        <v>5</v>
      </c>
      <c r="C36" s="23" t="s">
        <v>6</v>
      </c>
      <c r="D36" s="23" t="s">
        <v>7</v>
      </c>
      <c r="E36" s="5" t="s">
        <v>42</v>
      </c>
      <c r="F36" s="27" t="s">
        <v>507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s="24" customFormat="1" ht="12.75">
      <c r="A37" s="7">
        <v>1478707361</v>
      </c>
      <c r="B37" s="7" t="s">
        <v>5</v>
      </c>
      <c r="C37" s="23" t="s">
        <v>6</v>
      </c>
      <c r="D37" s="23" t="s">
        <v>7</v>
      </c>
      <c r="E37" s="5" t="s">
        <v>43</v>
      </c>
      <c r="F37" s="27" t="s">
        <v>507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s="24" customFormat="1" ht="12.75">
      <c r="A38" s="7">
        <v>512970471</v>
      </c>
      <c r="B38" s="7" t="s">
        <v>5</v>
      </c>
      <c r="C38" s="23" t="s">
        <v>6</v>
      </c>
      <c r="D38" s="23" t="s">
        <v>7</v>
      </c>
      <c r="E38" s="5" t="s">
        <v>44</v>
      </c>
      <c r="F38" s="27" t="s">
        <v>507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s="24" customFormat="1" ht="12.75">
      <c r="A39" s="7">
        <v>1408672391</v>
      </c>
      <c r="B39" s="7" t="s">
        <v>5</v>
      </c>
      <c r="C39" s="23" t="s">
        <v>6</v>
      </c>
      <c r="D39" s="23" t="s">
        <v>7</v>
      </c>
      <c r="E39" s="5" t="s">
        <v>45</v>
      </c>
      <c r="F39" s="27" t="s">
        <v>507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s="24" customFormat="1" ht="12.75">
      <c r="A40" s="7">
        <v>1446956733</v>
      </c>
      <c r="B40" s="7" t="s">
        <v>5</v>
      </c>
      <c r="C40" s="23" t="s">
        <v>6</v>
      </c>
      <c r="D40" s="23" t="s">
        <v>7</v>
      </c>
      <c r="E40" s="5" t="s">
        <v>46</v>
      </c>
      <c r="F40" s="27" t="s">
        <v>507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s="24" customFormat="1" ht="12.75">
      <c r="A41" s="7">
        <v>226046758</v>
      </c>
      <c r="B41" s="7" t="s">
        <v>5</v>
      </c>
      <c r="C41" s="23" t="s">
        <v>6</v>
      </c>
      <c r="D41" s="23" t="s">
        <v>7</v>
      </c>
      <c r="E41" s="5" t="s">
        <v>47</v>
      </c>
      <c r="F41" s="27" t="s">
        <v>507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s="24" customFormat="1" ht="12.75">
      <c r="A42" s="7">
        <v>150242200</v>
      </c>
      <c r="B42" s="7" t="s">
        <v>5</v>
      </c>
      <c r="C42" s="23" t="s">
        <v>6</v>
      </c>
      <c r="D42" s="23" t="s">
        <v>7</v>
      </c>
      <c r="E42" s="5" t="s">
        <v>48</v>
      </c>
      <c r="F42" s="27" t="s">
        <v>507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s="24" customFormat="1" ht="12.75">
      <c r="A43" s="7">
        <v>269721398</v>
      </c>
      <c r="B43" s="7" t="s">
        <v>5</v>
      </c>
      <c r="C43" s="23" t="s">
        <v>6</v>
      </c>
      <c r="D43" s="23" t="s">
        <v>7</v>
      </c>
      <c r="E43" s="5" t="s">
        <v>49</v>
      </c>
      <c r="F43" s="27" t="s">
        <v>507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s="24" customFormat="1" ht="12.75">
      <c r="A44" s="7">
        <v>1516990091</v>
      </c>
      <c r="B44" s="7" t="s">
        <v>5</v>
      </c>
      <c r="C44" s="23" t="s">
        <v>6</v>
      </c>
      <c r="D44" s="23" t="s">
        <v>7</v>
      </c>
      <c r="E44" s="5" t="s">
        <v>50</v>
      </c>
      <c r="F44" s="27" t="s">
        <v>507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s="24" customFormat="1" ht="24">
      <c r="A45" s="7">
        <v>379432988</v>
      </c>
      <c r="B45" s="7" t="s">
        <v>5</v>
      </c>
      <c r="C45" s="23" t="s">
        <v>6</v>
      </c>
      <c r="D45" s="23" t="s">
        <v>7</v>
      </c>
      <c r="E45" s="5" t="s">
        <v>51</v>
      </c>
      <c r="F45" s="27" t="s">
        <v>507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s="24" customFormat="1" ht="12.75">
      <c r="A46" s="7">
        <v>1433577301</v>
      </c>
      <c r="B46" s="7" t="s">
        <v>5</v>
      </c>
      <c r="C46" s="23" t="s">
        <v>6</v>
      </c>
      <c r="D46" s="23" t="s">
        <v>7</v>
      </c>
      <c r="E46" s="5" t="s">
        <v>52</v>
      </c>
      <c r="F46" s="26" t="s">
        <v>515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s="24" customFormat="1" ht="12.75">
      <c r="A47" s="7">
        <v>1433463620</v>
      </c>
      <c r="B47" s="7" t="s">
        <v>5</v>
      </c>
      <c r="C47" s="23" t="s">
        <v>6</v>
      </c>
      <c r="D47" s="23" t="s">
        <v>7</v>
      </c>
      <c r="E47" s="5" t="s">
        <v>53</v>
      </c>
      <c r="F47" s="27" t="s">
        <v>507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s="24" customFormat="1" ht="12.75">
      <c r="A48" s="7">
        <v>2351478061</v>
      </c>
      <c r="B48" s="7" t="s">
        <v>5</v>
      </c>
      <c r="C48" s="23" t="s">
        <v>6</v>
      </c>
      <c r="D48" s="23" t="s">
        <v>7</v>
      </c>
      <c r="E48" s="5" t="s">
        <v>54</v>
      </c>
      <c r="F48" s="28" t="s">
        <v>505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s="24" customFormat="1" ht="12.75">
      <c r="A49" s="7">
        <v>74339904</v>
      </c>
      <c r="B49" s="7" t="s">
        <v>5</v>
      </c>
      <c r="C49" s="23" t="s">
        <v>6</v>
      </c>
      <c r="D49" s="23" t="s">
        <v>7</v>
      </c>
      <c r="E49" s="5" t="s">
        <v>55</v>
      </c>
      <c r="F49" s="28" t="s">
        <v>505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s="24" customFormat="1" ht="12.75">
      <c r="A50" s="7">
        <v>1342941619</v>
      </c>
      <c r="B50" s="7" t="s">
        <v>5</v>
      </c>
      <c r="C50" s="23" t="s">
        <v>6</v>
      </c>
      <c r="D50" s="23" t="s">
        <v>7</v>
      </c>
      <c r="E50" s="5" t="s">
        <v>56</v>
      </c>
      <c r="F50" s="27" t="s">
        <v>507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s="24" customFormat="1" ht="12.75">
      <c r="A51" s="7">
        <v>1128477483</v>
      </c>
      <c r="B51" s="7" t="s">
        <v>5</v>
      </c>
      <c r="C51" s="23" t="s">
        <v>6</v>
      </c>
      <c r="D51" s="23" t="s">
        <v>7</v>
      </c>
      <c r="E51" s="5" t="s">
        <v>57</v>
      </c>
      <c r="F51" s="28" t="s">
        <v>505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s="24" customFormat="1" ht="12.75">
      <c r="A52" s="7">
        <v>44352982</v>
      </c>
      <c r="B52" s="7" t="s">
        <v>5</v>
      </c>
      <c r="C52" s="23" t="s">
        <v>6</v>
      </c>
      <c r="D52" s="23" t="s">
        <v>7</v>
      </c>
      <c r="E52" s="5" t="s">
        <v>58</v>
      </c>
      <c r="F52" s="28" t="s">
        <v>505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s="24" customFormat="1" ht="12.75">
      <c r="A53" s="7">
        <v>1536298884</v>
      </c>
      <c r="B53" s="7" t="s">
        <v>5</v>
      </c>
      <c r="C53" s="23" t="s">
        <v>6</v>
      </c>
      <c r="D53" s="23" t="s">
        <v>7</v>
      </c>
      <c r="E53" s="5" t="s">
        <v>59</v>
      </c>
      <c r="F53" s="27" t="s">
        <v>507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s="24" customFormat="1" ht="12.75">
      <c r="A54" s="7">
        <v>690775790</v>
      </c>
      <c r="B54" s="7" t="s">
        <v>5</v>
      </c>
      <c r="C54" s="23" t="s">
        <v>6</v>
      </c>
      <c r="D54" s="23" t="s">
        <v>7</v>
      </c>
      <c r="E54" s="5" t="s">
        <v>60</v>
      </c>
      <c r="F54" s="27" t="s">
        <v>507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s="24" customFormat="1" ht="12.75">
      <c r="A55" s="7">
        <v>269337304</v>
      </c>
      <c r="B55" s="7" t="s">
        <v>5</v>
      </c>
      <c r="C55" s="23" t="s">
        <v>6</v>
      </c>
      <c r="D55" s="23" t="s">
        <v>7</v>
      </c>
      <c r="E55" s="5" t="s">
        <v>61</v>
      </c>
      <c r="F55" s="27" t="s">
        <v>507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s="24" customFormat="1" ht="12.75">
      <c r="A56" s="7">
        <v>1541281221</v>
      </c>
      <c r="B56" s="7" t="s">
        <v>5</v>
      </c>
      <c r="C56" s="23" t="s">
        <v>6</v>
      </c>
      <c r="D56" s="23" t="s">
        <v>7</v>
      </c>
      <c r="E56" s="5" t="s">
        <v>62</v>
      </c>
      <c r="F56" s="26" t="s">
        <v>508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s="24" customFormat="1" ht="63.75">
      <c r="A57" s="7">
        <v>618183409</v>
      </c>
      <c r="B57" s="7" t="s">
        <v>5</v>
      </c>
      <c r="C57" s="23" t="s">
        <v>6</v>
      </c>
      <c r="D57" s="23" t="s">
        <v>7</v>
      </c>
      <c r="E57" s="5" t="s">
        <v>63</v>
      </c>
      <c r="F57" s="28" t="s">
        <v>507</v>
      </c>
      <c r="G57" s="28" t="s">
        <v>512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s="24" customFormat="1" ht="12.75">
      <c r="A58" s="7">
        <v>1954038151</v>
      </c>
      <c r="B58" s="7" t="s">
        <v>5</v>
      </c>
      <c r="C58" s="23" t="s">
        <v>6</v>
      </c>
      <c r="D58" s="23" t="s">
        <v>7</v>
      </c>
      <c r="E58" s="5" t="s">
        <v>64</v>
      </c>
      <c r="F58" s="27" t="s">
        <v>507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s="24" customFormat="1" ht="12.75">
      <c r="A59" s="7">
        <v>744048622</v>
      </c>
      <c r="B59" s="7" t="s">
        <v>5</v>
      </c>
      <c r="C59" s="23" t="s">
        <v>6</v>
      </c>
      <c r="D59" s="23" t="s">
        <v>7</v>
      </c>
      <c r="E59" s="5" t="s">
        <v>65</v>
      </c>
      <c r="F59" s="27" t="s">
        <v>507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s="24" customFormat="1" ht="12.75">
      <c r="A60" s="7">
        <v>79019768</v>
      </c>
      <c r="B60" s="7" t="s">
        <v>5</v>
      </c>
      <c r="C60" s="23" t="s">
        <v>6</v>
      </c>
      <c r="D60" s="23" t="s">
        <v>7</v>
      </c>
      <c r="E60" s="5" t="s">
        <v>66</v>
      </c>
      <c r="F60" s="27" t="s">
        <v>507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s="24" customFormat="1" ht="12.75">
      <c r="A61" s="7">
        <v>521028663</v>
      </c>
      <c r="B61" s="7" t="s">
        <v>5</v>
      </c>
      <c r="C61" s="23" t="s">
        <v>6</v>
      </c>
      <c r="D61" s="23" t="s">
        <v>7</v>
      </c>
      <c r="E61" s="5" t="s">
        <v>67</v>
      </c>
      <c r="F61" s="27" t="s">
        <v>507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s="24" customFormat="1" ht="12.75">
      <c r="A62" s="7">
        <v>1578049413</v>
      </c>
      <c r="B62" s="7" t="s">
        <v>5</v>
      </c>
      <c r="C62" s="23" t="s">
        <v>6</v>
      </c>
      <c r="D62" s="23" t="s">
        <v>7</v>
      </c>
      <c r="E62" s="5" t="s">
        <v>68</v>
      </c>
      <c r="F62" s="26" t="s">
        <v>508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s="24" customFormat="1" ht="12.75">
      <c r="A63" s="7">
        <v>1442794904</v>
      </c>
      <c r="B63" s="7" t="s">
        <v>5</v>
      </c>
      <c r="C63" s="23" t="s">
        <v>6</v>
      </c>
      <c r="D63" s="23" t="s">
        <v>7</v>
      </c>
      <c r="E63" s="5" t="s">
        <v>69</v>
      </c>
      <c r="F63" s="26" t="s">
        <v>508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s="24" customFormat="1" ht="12.75">
      <c r="A64" s="7">
        <v>136554975</v>
      </c>
      <c r="B64" s="7" t="s">
        <v>5</v>
      </c>
      <c r="C64" s="23" t="s">
        <v>6</v>
      </c>
      <c r="D64" s="23" t="s">
        <v>7</v>
      </c>
      <c r="E64" s="5" t="s">
        <v>70</v>
      </c>
      <c r="F64" s="27" t="s">
        <v>507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s="24" customFormat="1" ht="12.75">
      <c r="A65" s="7">
        <v>1550052320</v>
      </c>
      <c r="B65" s="7" t="s">
        <v>5</v>
      </c>
      <c r="C65" s="23" t="s">
        <v>6</v>
      </c>
      <c r="D65" s="23" t="s">
        <v>7</v>
      </c>
      <c r="E65" s="5" t="s">
        <v>71</v>
      </c>
      <c r="F65" s="27" t="s">
        <v>507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s="24" customFormat="1" ht="12.75">
      <c r="A66" s="7">
        <v>92792646</v>
      </c>
      <c r="B66" s="7" t="s">
        <v>5</v>
      </c>
      <c r="C66" s="23" t="s">
        <v>6</v>
      </c>
      <c r="D66" s="23" t="s">
        <v>7</v>
      </c>
      <c r="E66" s="5" t="s">
        <v>72</v>
      </c>
      <c r="F66" s="27" t="s">
        <v>507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s="24" customFormat="1" ht="12.75">
      <c r="A67" s="7">
        <v>192874049</v>
      </c>
      <c r="B67" s="7" t="s">
        <v>5</v>
      </c>
      <c r="C67" s="23" t="s">
        <v>6</v>
      </c>
      <c r="D67" s="23" t="s">
        <v>7</v>
      </c>
      <c r="E67" s="5" t="s">
        <v>73</v>
      </c>
      <c r="F67" s="26" t="s">
        <v>508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s="24" customFormat="1" ht="12.75">
      <c r="A68" s="7">
        <v>481509072</v>
      </c>
      <c r="B68" s="7" t="s">
        <v>5</v>
      </c>
      <c r="C68" s="23" t="s">
        <v>6</v>
      </c>
      <c r="D68" s="23" t="s">
        <v>7</v>
      </c>
      <c r="E68" s="5" t="s">
        <v>74</v>
      </c>
      <c r="F68" s="27" t="s">
        <v>507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s="24" customFormat="1" ht="12.75">
      <c r="A69" s="7">
        <v>303223557</v>
      </c>
      <c r="B69" s="7" t="s">
        <v>5</v>
      </c>
      <c r="C69" s="23" t="s">
        <v>6</v>
      </c>
      <c r="D69" s="23" t="s">
        <v>7</v>
      </c>
      <c r="E69" s="5" t="s">
        <v>75</v>
      </c>
      <c r="F69" s="26" t="s">
        <v>510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s="24" customFormat="1" ht="12.75">
      <c r="A70" s="7">
        <v>5160092</v>
      </c>
      <c r="B70" s="7" t="s">
        <v>5</v>
      </c>
      <c r="C70" s="23" t="s">
        <v>6</v>
      </c>
      <c r="D70" s="23" t="s">
        <v>7</v>
      </c>
      <c r="E70" s="5" t="s">
        <v>76</v>
      </c>
      <c r="F70" s="27" t="s">
        <v>507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s="24" customFormat="1" ht="12.75">
      <c r="A71" s="7">
        <v>1437278515</v>
      </c>
      <c r="B71" s="7" t="s">
        <v>5</v>
      </c>
      <c r="C71" s="23" t="s">
        <v>6</v>
      </c>
      <c r="D71" s="23" t="s">
        <v>7</v>
      </c>
      <c r="E71" s="5" t="s">
        <v>77</v>
      </c>
      <c r="F71" s="26" t="s">
        <v>508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s="24" customFormat="1" ht="12.75">
      <c r="A72" s="7">
        <v>48673895</v>
      </c>
      <c r="B72" s="7" t="s">
        <v>5</v>
      </c>
      <c r="C72" s="23" t="s">
        <v>6</v>
      </c>
      <c r="D72" s="23" t="s">
        <v>7</v>
      </c>
      <c r="E72" s="5" t="s">
        <v>78</v>
      </c>
      <c r="F72" s="28" t="s">
        <v>505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s="24" customFormat="1" ht="12.75">
      <c r="A73" s="7">
        <v>1465247461</v>
      </c>
      <c r="B73" s="7" t="s">
        <v>5</v>
      </c>
      <c r="C73" s="23" t="s">
        <v>6</v>
      </c>
      <c r="D73" s="23" t="s">
        <v>7</v>
      </c>
      <c r="E73" s="5" t="s">
        <v>79</v>
      </c>
      <c r="F73" s="27" t="s">
        <v>507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s="24" customFormat="1" ht="12.75">
      <c r="A74" s="7">
        <v>205028015</v>
      </c>
      <c r="B74" s="7" t="s">
        <v>5</v>
      </c>
      <c r="C74" s="23" t="s">
        <v>6</v>
      </c>
      <c r="D74" s="23" t="s">
        <v>7</v>
      </c>
      <c r="E74" s="5" t="s">
        <v>80</v>
      </c>
      <c r="F74" s="27" t="s">
        <v>507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 s="24" customFormat="1" ht="24">
      <c r="A75" s="7">
        <v>1381562962</v>
      </c>
      <c r="B75" s="7" t="s">
        <v>5</v>
      </c>
      <c r="C75" s="23" t="s">
        <v>6</v>
      </c>
      <c r="D75" s="23" t="s">
        <v>7</v>
      </c>
      <c r="E75" s="5" t="s">
        <v>81</v>
      </c>
      <c r="F75" s="26" t="s">
        <v>508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spans="1:25" s="24" customFormat="1" ht="12.75">
      <c r="A76" s="7">
        <v>358402522</v>
      </c>
      <c r="B76" s="7" t="s">
        <v>5</v>
      </c>
      <c r="C76" s="23" t="s">
        <v>6</v>
      </c>
      <c r="D76" s="23" t="s">
        <v>7</v>
      </c>
      <c r="E76" s="5" t="s">
        <v>82</v>
      </c>
      <c r="F76" s="27" t="s">
        <v>507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s="24" customFormat="1" ht="12.75">
      <c r="A77" s="7">
        <v>1457441247</v>
      </c>
      <c r="B77" s="7" t="s">
        <v>5</v>
      </c>
      <c r="C77" s="23" t="s">
        <v>6</v>
      </c>
      <c r="D77" s="23" t="s">
        <v>7</v>
      </c>
      <c r="E77" s="5" t="s">
        <v>83</v>
      </c>
      <c r="F77" s="27" t="s">
        <v>507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s="24" customFormat="1" ht="12.75">
      <c r="A78" s="7">
        <v>1381583566</v>
      </c>
      <c r="B78" s="7" t="s">
        <v>5</v>
      </c>
      <c r="C78" s="23" t="s">
        <v>6</v>
      </c>
      <c r="D78" s="23" t="s">
        <v>7</v>
      </c>
      <c r="E78" s="5" t="s">
        <v>84</v>
      </c>
      <c r="F78" s="27" t="s">
        <v>507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s="24" customFormat="1" ht="12.75">
      <c r="A79" s="7">
        <v>1440823950</v>
      </c>
      <c r="B79" s="7" t="s">
        <v>5</v>
      </c>
      <c r="C79" s="23" t="s">
        <v>6</v>
      </c>
      <c r="D79" s="23" t="s">
        <v>7</v>
      </c>
      <c r="E79" s="5" t="s">
        <v>85</v>
      </c>
      <c r="F79" s="27" t="s">
        <v>507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s="24" customFormat="1" ht="12.75">
      <c r="A80" s="7">
        <v>83966270</v>
      </c>
      <c r="B80" s="7" t="s">
        <v>5</v>
      </c>
      <c r="C80" s="23" t="s">
        <v>6</v>
      </c>
      <c r="D80" s="23" t="s">
        <v>7</v>
      </c>
      <c r="E80" s="5" t="s">
        <v>86</v>
      </c>
      <c r="F80" s="27" t="s">
        <v>507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25" s="24" customFormat="1" ht="48">
      <c r="A81" s="7">
        <v>1029902351</v>
      </c>
      <c r="B81" s="7" t="s">
        <v>5</v>
      </c>
      <c r="C81" s="23" t="s">
        <v>6</v>
      </c>
      <c r="D81" s="23" t="s">
        <v>7</v>
      </c>
      <c r="E81" s="6" t="s">
        <v>87</v>
      </c>
      <c r="F81" s="27" t="s">
        <v>507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25" s="24" customFormat="1" ht="12.75">
      <c r="A82" s="7">
        <v>1947955373</v>
      </c>
      <c r="B82" s="7" t="s">
        <v>5</v>
      </c>
      <c r="C82" s="23" t="s">
        <v>6</v>
      </c>
      <c r="D82" s="23" t="s">
        <v>7</v>
      </c>
      <c r="E82" s="5" t="s">
        <v>88</v>
      </c>
      <c r="F82" s="27" t="s">
        <v>507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25" s="24" customFormat="1" ht="12.75">
      <c r="A83" s="7">
        <v>73418100</v>
      </c>
      <c r="B83" s="7" t="s">
        <v>5</v>
      </c>
      <c r="C83" s="23" t="s">
        <v>6</v>
      </c>
      <c r="D83" s="23" t="s">
        <v>7</v>
      </c>
      <c r="E83" s="5" t="s">
        <v>89</v>
      </c>
      <c r="F83" s="27" t="s">
        <v>507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25" s="24" customFormat="1" ht="12.75">
      <c r="A84" s="7">
        <v>408274567</v>
      </c>
      <c r="B84" s="7" t="s">
        <v>5</v>
      </c>
      <c r="C84" s="23" t="s">
        <v>6</v>
      </c>
      <c r="D84" s="23" t="s">
        <v>7</v>
      </c>
      <c r="E84" s="5" t="s">
        <v>90</v>
      </c>
      <c r="F84" s="27" t="s">
        <v>507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25" s="24" customFormat="1" ht="12.75">
      <c r="A85" s="7">
        <v>1359646788</v>
      </c>
      <c r="B85" s="7" t="s">
        <v>5</v>
      </c>
      <c r="C85" s="23" t="s">
        <v>6</v>
      </c>
      <c r="D85" s="23" t="s">
        <v>7</v>
      </c>
      <c r="E85" s="5" t="s">
        <v>91</v>
      </c>
      <c r="F85" s="26" t="s">
        <v>508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s="24" customFormat="1" ht="12.75">
      <c r="A86" s="7">
        <v>47897711</v>
      </c>
      <c r="B86" s="7" t="s">
        <v>5</v>
      </c>
      <c r="C86" s="23" t="s">
        <v>6</v>
      </c>
      <c r="D86" s="23" t="s">
        <v>7</v>
      </c>
      <c r="E86" s="5" t="s">
        <v>92</v>
      </c>
      <c r="F86" s="27" t="s">
        <v>507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 s="24" customFormat="1" ht="12.75">
      <c r="A87" s="7">
        <v>5399188</v>
      </c>
      <c r="B87" s="7" t="s">
        <v>5</v>
      </c>
      <c r="C87" s="23" t="s">
        <v>6</v>
      </c>
      <c r="D87" s="23" t="s">
        <v>7</v>
      </c>
      <c r="E87" s="25" t="s">
        <v>93</v>
      </c>
      <c r="F87" s="27" t="s">
        <v>507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spans="1:25" s="24" customFormat="1" ht="12.75">
      <c r="A88" s="7">
        <v>1383038146</v>
      </c>
      <c r="B88" s="7" t="s">
        <v>5</v>
      </c>
      <c r="C88" s="23" t="s">
        <v>6</v>
      </c>
      <c r="D88" s="23" t="s">
        <v>7</v>
      </c>
      <c r="E88" s="5" t="s">
        <v>94</v>
      </c>
      <c r="F88" s="28" t="s">
        <v>505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s="24" customFormat="1" ht="12.75">
      <c r="A89" s="7">
        <v>1639459856</v>
      </c>
      <c r="B89" s="7" t="s">
        <v>5</v>
      </c>
      <c r="C89" s="23" t="s">
        <v>6</v>
      </c>
      <c r="D89" s="23" t="s">
        <v>7</v>
      </c>
      <c r="E89" s="5" t="s">
        <v>95</v>
      </c>
      <c r="F89" s="26" t="s">
        <v>508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spans="1:25" s="24" customFormat="1" ht="12.75">
      <c r="A90" s="7">
        <v>2221972417</v>
      </c>
      <c r="B90" s="7" t="s">
        <v>5</v>
      </c>
      <c r="C90" s="23" t="s">
        <v>6</v>
      </c>
      <c r="D90" s="23" t="s">
        <v>7</v>
      </c>
      <c r="E90" s="5" t="s">
        <v>96</v>
      </c>
      <c r="F90" s="27" t="s">
        <v>507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s="24" customFormat="1" ht="36">
      <c r="A91" s="7">
        <v>1439663675</v>
      </c>
      <c r="B91" s="7" t="s">
        <v>5</v>
      </c>
      <c r="C91" s="23" t="s">
        <v>6</v>
      </c>
      <c r="D91" s="23" t="s">
        <v>7</v>
      </c>
      <c r="E91" s="7" t="s">
        <v>97</v>
      </c>
      <c r="F91" s="27" t="s">
        <v>507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spans="1:25" s="24" customFormat="1" ht="12.75">
      <c r="A92" s="7">
        <v>490589317</v>
      </c>
      <c r="B92" s="7" t="s">
        <v>5</v>
      </c>
      <c r="C92" s="23" t="s">
        <v>6</v>
      </c>
      <c r="D92" s="23" t="s">
        <v>7</v>
      </c>
      <c r="E92" s="5" t="s">
        <v>98</v>
      </c>
      <c r="F92" s="27" t="s">
        <v>507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spans="1:25" s="24" customFormat="1" ht="12.75">
      <c r="A93" s="7">
        <v>30107921</v>
      </c>
      <c r="B93" s="7" t="s">
        <v>5</v>
      </c>
      <c r="C93" s="23" t="s">
        <v>6</v>
      </c>
      <c r="D93" s="23" t="s">
        <v>7</v>
      </c>
      <c r="E93" s="5" t="s">
        <v>99</v>
      </c>
      <c r="F93" s="27" t="s">
        <v>507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5" s="24" customFormat="1" ht="12.75">
      <c r="A94" s="7">
        <v>1439548649</v>
      </c>
      <c r="B94" s="7" t="s">
        <v>5</v>
      </c>
      <c r="C94" s="23" t="s">
        <v>6</v>
      </c>
      <c r="D94" s="23" t="s">
        <v>7</v>
      </c>
      <c r="E94" s="5" t="s">
        <v>100</v>
      </c>
      <c r="F94" s="27" t="s">
        <v>507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5" s="24" customFormat="1" ht="12.75">
      <c r="A95" s="7">
        <v>1756402797</v>
      </c>
      <c r="B95" s="7" t="s">
        <v>5</v>
      </c>
      <c r="C95" s="23" t="s">
        <v>6</v>
      </c>
      <c r="D95" s="23" t="s">
        <v>7</v>
      </c>
      <c r="E95" s="5" t="s">
        <v>101</v>
      </c>
      <c r="F95" s="27" t="s">
        <v>507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5" s="24" customFormat="1" ht="12.75">
      <c r="A96" s="7">
        <v>83215915</v>
      </c>
      <c r="B96" s="7" t="s">
        <v>5</v>
      </c>
      <c r="C96" s="23" t="s">
        <v>6</v>
      </c>
      <c r="D96" s="23" t="s">
        <v>7</v>
      </c>
      <c r="E96" s="5" t="s">
        <v>102</v>
      </c>
      <c r="F96" s="28" t="s">
        <v>505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s="24" customFormat="1" ht="12.75">
      <c r="A97" s="7">
        <v>51908994</v>
      </c>
      <c r="B97" s="7" t="s">
        <v>5</v>
      </c>
      <c r="C97" s="23" t="s">
        <v>6</v>
      </c>
      <c r="D97" s="23" t="s">
        <v>7</v>
      </c>
      <c r="E97" s="5" t="s">
        <v>103</v>
      </c>
      <c r="F97" s="26" t="s">
        <v>508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spans="1:25" s="24" customFormat="1" ht="12.75">
      <c r="A98" s="7">
        <v>2009130689</v>
      </c>
      <c r="B98" s="7" t="s">
        <v>5</v>
      </c>
      <c r="C98" s="23" t="s">
        <v>6</v>
      </c>
      <c r="D98" s="23" t="s">
        <v>7</v>
      </c>
      <c r="E98" s="5" t="s">
        <v>104</v>
      </c>
      <c r="F98" s="27" t="s">
        <v>507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spans="1:25" s="24" customFormat="1" ht="12.75">
      <c r="A99" s="7">
        <v>2018031282</v>
      </c>
      <c r="B99" s="7" t="s">
        <v>5</v>
      </c>
      <c r="C99" s="23" t="s">
        <v>6</v>
      </c>
      <c r="D99" s="23" t="s">
        <v>7</v>
      </c>
      <c r="E99" s="5" t="s">
        <v>105</v>
      </c>
      <c r="F99" s="27" t="s">
        <v>507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spans="1:25" s="24" customFormat="1" ht="12.75">
      <c r="A100" s="7">
        <v>1453179131</v>
      </c>
      <c r="B100" s="7" t="s">
        <v>5</v>
      </c>
      <c r="C100" s="23" t="s">
        <v>6</v>
      </c>
      <c r="D100" s="23" t="s">
        <v>7</v>
      </c>
      <c r="E100" s="5" t="s">
        <v>106</v>
      </c>
      <c r="F100" s="27" t="s">
        <v>507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1:25" s="24" customFormat="1" ht="12.75">
      <c r="A101" s="7">
        <v>1485911737</v>
      </c>
      <c r="B101" s="7" t="s">
        <v>5</v>
      </c>
      <c r="C101" s="23" t="s">
        <v>6</v>
      </c>
      <c r="D101" s="23" t="s">
        <v>7</v>
      </c>
      <c r="E101" s="5" t="s">
        <v>107</v>
      </c>
      <c r="F101" s="27" t="s">
        <v>507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1:25" s="24" customFormat="1" ht="12.75">
      <c r="A102" s="7">
        <v>448250295</v>
      </c>
      <c r="B102" s="7" t="s">
        <v>5</v>
      </c>
      <c r="C102" s="23" t="s">
        <v>6</v>
      </c>
      <c r="D102" s="23" t="s">
        <v>7</v>
      </c>
      <c r="E102" s="5" t="s">
        <v>108</v>
      </c>
      <c r="F102" s="27" t="s">
        <v>507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1:25" s="24" customFormat="1" ht="12.75">
      <c r="A103" s="7">
        <v>1426600144</v>
      </c>
      <c r="B103" s="7" t="s">
        <v>5</v>
      </c>
      <c r="C103" s="23" t="s">
        <v>6</v>
      </c>
      <c r="D103" s="23" t="s">
        <v>7</v>
      </c>
      <c r="E103" s="5" t="s">
        <v>109</v>
      </c>
      <c r="F103" s="28" t="s">
        <v>505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1:25" s="24" customFormat="1" ht="12.75">
      <c r="A104" s="7">
        <v>257830843</v>
      </c>
      <c r="B104" s="7" t="s">
        <v>5</v>
      </c>
      <c r="C104" s="23" t="s">
        <v>6</v>
      </c>
      <c r="D104" s="23" t="s">
        <v>7</v>
      </c>
      <c r="E104" s="5" t="s">
        <v>110</v>
      </c>
      <c r="F104" s="27" t="s">
        <v>507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 s="24" customFormat="1" ht="12.75">
      <c r="A105" s="7">
        <v>147294155</v>
      </c>
      <c r="B105" s="7" t="s">
        <v>5</v>
      </c>
      <c r="C105" s="23" t="s">
        <v>6</v>
      </c>
      <c r="D105" s="23" t="s">
        <v>7</v>
      </c>
      <c r="E105" s="5" t="s">
        <v>111</v>
      </c>
      <c r="F105" s="27" t="s">
        <v>507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1:25" s="24" customFormat="1" ht="12.75">
      <c r="A106" s="7">
        <v>342729046</v>
      </c>
      <c r="B106" s="7" t="s">
        <v>5</v>
      </c>
      <c r="C106" s="23" t="s">
        <v>6</v>
      </c>
      <c r="D106" s="23" t="s">
        <v>7</v>
      </c>
      <c r="E106" s="5" t="s">
        <v>112</v>
      </c>
      <c r="F106" s="28" t="s">
        <v>505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1:25" s="24" customFormat="1" ht="12.75">
      <c r="A107" s="7">
        <v>241322914</v>
      </c>
      <c r="B107" s="7" t="s">
        <v>5</v>
      </c>
      <c r="C107" s="23" t="s">
        <v>6</v>
      </c>
      <c r="D107" s="23" t="s">
        <v>7</v>
      </c>
      <c r="E107" s="5" t="s">
        <v>113</v>
      </c>
      <c r="F107" s="27" t="s">
        <v>507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1:25" s="24" customFormat="1" ht="12.75">
      <c r="A108" s="7">
        <v>1422595957</v>
      </c>
      <c r="B108" s="7" t="s">
        <v>5</v>
      </c>
      <c r="C108" s="23" t="s">
        <v>6</v>
      </c>
      <c r="D108" s="23" t="s">
        <v>7</v>
      </c>
      <c r="E108" s="5" t="s">
        <v>114</v>
      </c>
      <c r="F108" s="27" t="s">
        <v>507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1:25" s="24" customFormat="1" ht="12.75">
      <c r="A109" s="7">
        <v>807123036</v>
      </c>
      <c r="B109" s="7" t="s">
        <v>5</v>
      </c>
      <c r="C109" s="23" t="s">
        <v>6</v>
      </c>
      <c r="D109" s="23" t="s">
        <v>7</v>
      </c>
      <c r="E109" s="5" t="s">
        <v>115</v>
      </c>
      <c r="F109" s="27" t="s">
        <v>507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s="24" customFormat="1" ht="12.75">
      <c r="A110" s="7">
        <v>1539409111</v>
      </c>
      <c r="B110" s="7" t="s">
        <v>5</v>
      </c>
      <c r="C110" s="23" t="s">
        <v>6</v>
      </c>
      <c r="D110" s="23" t="s">
        <v>7</v>
      </c>
      <c r="E110" s="5" t="s">
        <v>116</v>
      </c>
      <c r="F110" s="27" t="s">
        <v>507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s="24" customFormat="1" ht="12.75">
      <c r="A111" s="7">
        <v>1490703847</v>
      </c>
      <c r="B111" s="7" t="s">
        <v>5</v>
      </c>
      <c r="C111" s="23" t="s">
        <v>6</v>
      </c>
      <c r="D111" s="23" t="s">
        <v>7</v>
      </c>
      <c r="E111" s="5" t="s">
        <v>117</v>
      </c>
      <c r="F111" s="27" t="s">
        <v>507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1:25" s="24" customFormat="1" ht="12.75">
      <c r="A112" s="7">
        <v>107916024</v>
      </c>
      <c r="B112" s="7" t="s">
        <v>5</v>
      </c>
      <c r="C112" s="23" t="s">
        <v>6</v>
      </c>
      <c r="D112" s="23" t="s">
        <v>7</v>
      </c>
      <c r="E112" s="5" t="s">
        <v>118</v>
      </c>
      <c r="F112" s="27" t="s">
        <v>507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1:25" s="24" customFormat="1" ht="12.75">
      <c r="A113" s="7">
        <v>1856859073</v>
      </c>
      <c r="B113" s="7" t="s">
        <v>5</v>
      </c>
      <c r="C113" s="23" t="s">
        <v>6</v>
      </c>
      <c r="D113" s="23" t="s">
        <v>7</v>
      </c>
      <c r="E113" s="5" t="s">
        <v>119</v>
      </c>
      <c r="F113" s="28" t="s">
        <v>505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s="24" customFormat="1" ht="12.75">
      <c r="A114" s="7">
        <v>200355621</v>
      </c>
      <c r="B114" s="7" t="s">
        <v>5</v>
      </c>
      <c r="C114" s="23" t="s">
        <v>6</v>
      </c>
      <c r="D114" s="23" t="s">
        <v>7</v>
      </c>
      <c r="E114" s="5" t="s">
        <v>120</v>
      </c>
      <c r="F114" s="27" t="s">
        <v>507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s="24" customFormat="1" ht="12.75">
      <c r="A115" s="7">
        <v>1444457359</v>
      </c>
      <c r="B115" s="7" t="s">
        <v>5</v>
      </c>
      <c r="C115" s="23" t="s">
        <v>6</v>
      </c>
      <c r="D115" s="23" t="s">
        <v>7</v>
      </c>
      <c r="E115" s="5" t="s">
        <v>121</v>
      </c>
      <c r="F115" s="27" t="s">
        <v>507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s="24" customFormat="1" ht="12.75">
      <c r="A116" s="7">
        <v>167259214</v>
      </c>
      <c r="B116" s="7" t="s">
        <v>5</v>
      </c>
      <c r="C116" s="23" t="s">
        <v>6</v>
      </c>
      <c r="D116" s="23" t="s">
        <v>7</v>
      </c>
      <c r="E116" s="5" t="s">
        <v>122</v>
      </c>
      <c r="F116" s="27" t="s">
        <v>507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s="24" customFormat="1" ht="12.75">
      <c r="A117" s="7">
        <v>530861291</v>
      </c>
      <c r="B117" s="7" t="s">
        <v>5</v>
      </c>
      <c r="C117" s="23" t="s">
        <v>6</v>
      </c>
      <c r="D117" s="23" t="s">
        <v>7</v>
      </c>
      <c r="E117" s="5" t="s">
        <v>123</v>
      </c>
      <c r="F117" s="27" t="s">
        <v>507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5" s="24" customFormat="1" ht="12.75">
      <c r="A118" s="7">
        <v>221861528</v>
      </c>
      <c r="B118" s="7" t="s">
        <v>5</v>
      </c>
      <c r="C118" s="23" t="s">
        <v>6</v>
      </c>
      <c r="D118" s="23" t="s">
        <v>7</v>
      </c>
      <c r="E118" s="5" t="s">
        <v>124</v>
      </c>
      <c r="F118" s="27" t="s">
        <v>507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1:25" s="24" customFormat="1" ht="12.75">
      <c r="A119" s="7">
        <v>1217794331</v>
      </c>
      <c r="B119" s="7" t="s">
        <v>5</v>
      </c>
      <c r="C119" s="23" t="s">
        <v>6</v>
      </c>
      <c r="D119" s="23" t="s">
        <v>7</v>
      </c>
      <c r="E119" s="5" t="s">
        <v>125</v>
      </c>
      <c r="F119" s="27" t="s">
        <v>507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s="24" customFormat="1" ht="12.75">
      <c r="A120" s="7">
        <v>1517396466</v>
      </c>
      <c r="B120" s="7" t="s">
        <v>5</v>
      </c>
      <c r="C120" s="23" t="s">
        <v>6</v>
      </c>
      <c r="D120" s="23" t="s">
        <v>7</v>
      </c>
      <c r="E120" s="5" t="s">
        <v>126</v>
      </c>
      <c r="F120" s="26" t="s">
        <v>508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5" s="24" customFormat="1" ht="12.75">
      <c r="A121" s="7">
        <v>2200130866</v>
      </c>
      <c r="B121" s="7" t="s">
        <v>5</v>
      </c>
      <c r="C121" s="23" t="s">
        <v>6</v>
      </c>
      <c r="D121" s="23" t="s">
        <v>7</v>
      </c>
      <c r="E121" s="5" t="s">
        <v>127</v>
      </c>
      <c r="F121" s="27" t="s">
        <v>507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5" s="24" customFormat="1" ht="12.75">
      <c r="A122" s="7">
        <v>742314482</v>
      </c>
      <c r="B122" s="7" t="s">
        <v>5</v>
      </c>
      <c r="C122" s="23" t="s">
        <v>6</v>
      </c>
      <c r="D122" s="23" t="s">
        <v>7</v>
      </c>
      <c r="E122" s="5" t="s">
        <v>128</v>
      </c>
      <c r="F122" s="27" t="s">
        <v>507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5" s="24" customFormat="1" ht="12.75">
      <c r="A123" s="7">
        <v>152436288</v>
      </c>
      <c r="B123" s="7" t="s">
        <v>5</v>
      </c>
      <c r="C123" s="23" t="s">
        <v>6</v>
      </c>
      <c r="D123" s="23" t="s">
        <v>7</v>
      </c>
      <c r="E123" s="5" t="s">
        <v>129</v>
      </c>
      <c r="F123" s="27" t="s">
        <v>507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1:25" s="24" customFormat="1" ht="12.75">
      <c r="A124" s="7">
        <v>1434017443</v>
      </c>
      <c r="B124" s="7" t="s">
        <v>5</v>
      </c>
      <c r="C124" s="23" t="s">
        <v>6</v>
      </c>
      <c r="D124" s="23" t="s">
        <v>7</v>
      </c>
      <c r="E124" s="5" t="s">
        <v>130</v>
      </c>
      <c r="F124" s="27" t="s">
        <v>507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1:25" s="24" customFormat="1" ht="12.75">
      <c r="A125" s="7">
        <v>1297399555</v>
      </c>
      <c r="B125" s="7" t="s">
        <v>5</v>
      </c>
      <c r="C125" s="23" t="s">
        <v>6</v>
      </c>
      <c r="D125" s="23" t="s">
        <v>7</v>
      </c>
      <c r="E125" s="5" t="s">
        <v>131</v>
      </c>
      <c r="F125" s="28" t="s">
        <v>505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1:25" s="24" customFormat="1" ht="12.75">
      <c r="A126" s="7">
        <v>1441090684</v>
      </c>
      <c r="B126" s="7" t="s">
        <v>5</v>
      </c>
      <c r="C126" s="23" t="s">
        <v>6</v>
      </c>
      <c r="D126" s="23" t="s">
        <v>7</v>
      </c>
      <c r="E126" s="5" t="s">
        <v>132</v>
      </c>
      <c r="F126" s="28" t="s">
        <v>505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1:25" s="24" customFormat="1" ht="12.75">
      <c r="A127" s="7">
        <v>202884905</v>
      </c>
      <c r="B127" s="7" t="s">
        <v>5</v>
      </c>
      <c r="C127" s="23" t="s">
        <v>6</v>
      </c>
      <c r="D127" s="23" t="s">
        <v>7</v>
      </c>
      <c r="E127" s="5" t="s">
        <v>133</v>
      </c>
      <c r="F127" s="27" t="s">
        <v>507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1:25" s="24" customFormat="1" ht="12.75">
      <c r="A128" s="7">
        <v>183440224</v>
      </c>
      <c r="B128" s="7" t="s">
        <v>5</v>
      </c>
      <c r="C128" s="23" t="s">
        <v>6</v>
      </c>
      <c r="D128" s="23" t="s">
        <v>7</v>
      </c>
      <c r="E128" s="5" t="s">
        <v>134</v>
      </c>
      <c r="F128" s="27" t="s">
        <v>507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1:25" s="24" customFormat="1" ht="12.75">
      <c r="A129" s="7">
        <v>238471146</v>
      </c>
      <c r="B129" s="7" t="s">
        <v>5</v>
      </c>
      <c r="C129" s="23" t="s">
        <v>6</v>
      </c>
      <c r="D129" s="23" t="s">
        <v>7</v>
      </c>
      <c r="E129" s="5" t="s">
        <v>135</v>
      </c>
      <c r="F129" s="27" t="s">
        <v>507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spans="1:25" s="24" customFormat="1" ht="12.75">
      <c r="A130" s="7">
        <v>141495725</v>
      </c>
      <c r="B130" s="7" t="s">
        <v>5</v>
      </c>
      <c r="C130" s="23" t="s">
        <v>6</v>
      </c>
      <c r="D130" s="23" t="s">
        <v>7</v>
      </c>
      <c r="E130" s="5" t="s">
        <v>136</v>
      </c>
      <c r="F130" s="27" t="s">
        <v>507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1:25" s="24" customFormat="1" ht="12.75">
      <c r="A131" s="7">
        <v>49674458</v>
      </c>
      <c r="B131" s="7" t="s">
        <v>5</v>
      </c>
      <c r="C131" s="23" t="s">
        <v>6</v>
      </c>
      <c r="D131" s="23" t="s">
        <v>7</v>
      </c>
      <c r="E131" s="5" t="s">
        <v>137</v>
      </c>
      <c r="F131" s="27" t="s">
        <v>507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1:25" s="24" customFormat="1" ht="12.75">
      <c r="A132" s="7">
        <v>1799164964</v>
      </c>
      <c r="B132" s="7" t="s">
        <v>5</v>
      </c>
      <c r="C132" s="23" t="s">
        <v>6</v>
      </c>
      <c r="D132" s="23" t="s">
        <v>7</v>
      </c>
      <c r="E132" s="5" t="s">
        <v>138</v>
      </c>
      <c r="F132" s="27" t="s">
        <v>507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1:25" s="24" customFormat="1" ht="12.75">
      <c r="A133" s="7">
        <v>2046114897</v>
      </c>
      <c r="B133" s="7" t="s">
        <v>5</v>
      </c>
      <c r="C133" s="23" t="s">
        <v>6</v>
      </c>
      <c r="D133" s="23" t="s">
        <v>7</v>
      </c>
      <c r="E133" s="5" t="s">
        <v>139</v>
      </c>
      <c r="F133" s="26" t="s">
        <v>508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1:25" s="24" customFormat="1" ht="12.75">
      <c r="A134" s="7">
        <v>1473563772</v>
      </c>
      <c r="B134" s="7" t="s">
        <v>5</v>
      </c>
      <c r="C134" s="23" t="s">
        <v>6</v>
      </c>
      <c r="D134" s="23" t="s">
        <v>7</v>
      </c>
      <c r="E134" s="5" t="s">
        <v>140</v>
      </c>
      <c r="F134" s="28" t="s">
        <v>505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1:25" s="24" customFormat="1" ht="12.75">
      <c r="A135" s="7">
        <v>1436446356</v>
      </c>
      <c r="B135" s="7" t="s">
        <v>5</v>
      </c>
      <c r="C135" s="23" t="s">
        <v>6</v>
      </c>
      <c r="D135" s="23" t="s">
        <v>7</v>
      </c>
      <c r="E135" s="5" t="s">
        <v>141</v>
      </c>
      <c r="F135" s="27" t="s">
        <v>507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s="24" customFormat="1" ht="12.75">
      <c r="A136" s="7">
        <v>615723245</v>
      </c>
      <c r="B136" s="7" t="s">
        <v>5</v>
      </c>
      <c r="C136" s="23" t="s">
        <v>6</v>
      </c>
      <c r="D136" s="23" t="s">
        <v>7</v>
      </c>
      <c r="E136" s="5" t="s">
        <v>142</v>
      </c>
      <c r="F136" s="27" t="s">
        <v>507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s="24" customFormat="1" ht="12.75">
      <c r="A137" s="7">
        <v>1462250546</v>
      </c>
      <c r="B137" s="7" t="s">
        <v>5</v>
      </c>
      <c r="C137" s="23" t="s">
        <v>6</v>
      </c>
      <c r="D137" s="23" t="s">
        <v>7</v>
      </c>
      <c r="E137" s="5" t="s">
        <v>143</v>
      </c>
      <c r="F137" s="27" t="s">
        <v>507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s="24" customFormat="1" ht="12.75">
      <c r="A138" s="7">
        <v>103699751</v>
      </c>
      <c r="B138" s="7" t="s">
        <v>5</v>
      </c>
      <c r="C138" s="23" t="s">
        <v>6</v>
      </c>
      <c r="D138" s="23" t="s">
        <v>7</v>
      </c>
      <c r="E138" s="5" t="s">
        <v>144</v>
      </c>
      <c r="F138" s="27" t="s">
        <v>507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1:25" s="24" customFormat="1" ht="12.75">
      <c r="A139" s="7">
        <v>1391252882</v>
      </c>
      <c r="B139" s="7" t="s">
        <v>5</v>
      </c>
      <c r="C139" s="23" t="s">
        <v>6</v>
      </c>
      <c r="D139" s="23" t="s">
        <v>7</v>
      </c>
      <c r="E139" s="5" t="s">
        <v>145</v>
      </c>
      <c r="F139" s="27" t="s">
        <v>507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1:25" s="24" customFormat="1" ht="12.75">
      <c r="A140" s="7">
        <v>136551174</v>
      </c>
      <c r="B140" s="7" t="s">
        <v>5</v>
      </c>
      <c r="C140" s="23" t="s">
        <v>6</v>
      </c>
      <c r="D140" s="23" t="s">
        <v>7</v>
      </c>
      <c r="E140" s="5" t="s">
        <v>146</v>
      </c>
      <c r="F140" s="27" t="s">
        <v>507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1:25" s="24" customFormat="1" ht="12.75">
      <c r="A141" s="7">
        <v>1452102353</v>
      </c>
      <c r="B141" s="7" t="s">
        <v>5</v>
      </c>
      <c r="C141" s="23" t="s">
        <v>6</v>
      </c>
      <c r="D141" s="23" t="s">
        <v>7</v>
      </c>
      <c r="E141" s="5" t="s">
        <v>147</v>
      </c>
      <c r="F141" s="28" t="s">
        <v>505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1:25" s="24" customFormat="1" ht="12.75">
      <c r="A142" s="7">
        <v>1173888746</v>
      </c>
      <c r="B142" s="7" t="s">
        <v>5</v>
      </c>
      <c r="C142" s="23" t="s">
        <v>6</v>
      </c>
      <c r="D142" s="23" t="s">
        <v>7</v>
      </c>
      <c r="E142" s="5" t="s">
        <v>148</v>
      </c>
      <c r="F142" s="27" t="s">
        <v>507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spans="1:25" s="24" customFormat="1" ht="12.75">
      <c r="A143" s="7">
        <v>25086949</v>
      </c>
      <c r="B143" s="7" t="s">
        <v>5</v>
      </c>
      <c r="C143" s="23" t="s">
        <v>6</v>
      </c>
      <c r="D143" s="23" t="s">
        <v>7</v>
      </c>
      <c r="E143" s="5" t="s">
        <v>149</v>
      </c>
      <c r="F143" s="26" t="s">
        <v>508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spans="1:25" s="24" customFormat="1" ht="12.75">
      <c r="A144" s="7">
        <v>340577258</v>
      </c>
      <c r="B144" s="7" t="s">
        <v>5</v>
      </c>
      <c r="C144" s="23" t="s">
        <v>6</v>
      </c>
      <c r="D144" s="23" t="s">
        <v>7</v>
      </c>
      <c r="E144" s="5" t="s">
        <v>150</v>
      </c>
      <c r="F144" s="27" t="s">
        <v>507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s="24" customFormat="1" ht="12.75">
      <c r="A145" s="7">
        <v>1485217446</v>
      </c>
      <c r="B145" s="7" t="s">
        <v>5</v>
      </c>
      <c r="C145" s="23" t="s">
        <v>6</v>
      </c>
      <c r="D145" s="23" t="s">
        <v>7</v>
      </c>
      <c r="E145" s="5" t="s">
        <v>151</v>
      </c>
      <c r="F145" s="27" t="s">
        <v>507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spans="1:25" s="24" customFormat="1" ht="12.75">
      <c r="A146" s="7">
        <v>4621837</v>
      </c>
      <c r="B146" s="7" t="s">
        <v>5</v>
      </c>
      <c r="C146" s="23" t="s">
        <v>6</v>
      </c>
      <c r="D146" s="23" t="s">
        <v>7</v>
      </c>
      <c r="E146" s="5" t="s">
        <v>152</v>
      </c>
      <c r="F146" s="27" t="s">
        <v>507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1:25" s="24" customFormat="1" ht="12.75">
      <c r="A147" s="7">
        <v>165269796</v>
      </c>
      <c r="B147" s="7" t="s">
        <v>5</v>
      </c>
      <c r="C147" s="23" t="s">
        <v>6</v>
      </c>
      <c r="D147" s="23" t="s">
        <v>7</v>
      </c>
      <c r="E147" s="5" t="s">
        <v>153</v>
      </c>
      <c r="F147" s="28" t="s">
        <v>505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1:25" s="24" customFormat="1" ht="12.75">
      <c r="A148" s="7">
        <v>47190880</v>
      </c>
      <c r="B148" s="7" t="s">
        <v>5</v>
      </c>
      <c r="C148" s="23" t="s">
        <v>6</v>
      </c>
      <c r="D148" s="23" t="s">
        <v>7</v>
      </c>
      <c r="E148" s="5" t="s">
        <v>154</v>
      </c>
      <c r="F148" s="27" t="s">
        <v>507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1:25" s="24" customFormat="1" ht="12.75">
      <c r="A149" s="7">
        <v>600049604</v>
      </c>
      <c r="B149" s="7" t="s">
        <v>5</v>
      </c>
      <c r="C149" s="23" t="s">
        <v>6</v>
      </c>
      <c r="D149" s="23" t="s">
        <v>7</v>
      </c>
      <c r="E149" s="5" t="s">
        <v>155</v>
      </c>
      <c r="F149" s="27" t="s">
        <v>507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1:25" s="24" customFormat="1" ht="12.75">
      <c r="A150" s="7">
        <v>2018286552</v>
      </c>
      <c r="B150" s="7" t="s">
        <v>5</v>
      </c>
      <c r="C150" s="23" t="s">
        <v>6</v>
      </c>
      <c r="D150" s="23" t="s">
        <v>7</v>
      </c>
      <c r="E150" s="5" t="s">
        <v>156</v>
      </c>
      <c r="F150" s="27" t="s">
        <v>507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1:25" s="24" customFormat="1" ht="12.75">
      <c r="A151" s="7">
        <v>301138223</v>
      </c>
      <c r="B151" s="7" t="s">
        <v>5</v>
      </c>
      <c r="C151" s="23" t="s">
        <v>6</v>
      </c>
      <c r="D151" s="23" t="s">
        <v>7</v>
      </c>
      <c r="E151" s="5" t="s">
        <v>157</v>
      </c>
      <c r="F151" s="27" t="s">
        <v>507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1:25" s="24" customFormat="1" ht="12.75">
      <c r="A152" s="7">
        <v>1453199461</v>
      </c>
      <c r="B152" s="7" t="s">
        <v>5</v>
      </c>
      <c r="C152" s="23" t="s">
        <v>6</v>
      </c>
      <c r="D152" s="23" t="s">
        <v>7</v>
      </c>
      <c r="E152" s="5" t="s">
        <v>158</v>
      </c>
      <c r="F152" s="27" t="s">
        <v>507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spans="1:25" s="24" customFormat="1" ht="12.75">
      <c r="A153" s="7">
        <v>199937377</v>
      </c>
      <c r="B153" s="7" t="s">
        <v>5</v>
      </c>
      <c r="C153" s="23" t="s">
        <v>6</v>
      </c>
      <c r="D153" s="23" t="s">
        <v>7</v>
      </c>
      <c r="E153" s="5" t="s">
        <v>159</v>
      </c>
      <c r="F153" s="26" t="s">
        <v>508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spans="1:25" s="24" customFormat="1" ht="12.75">
      <c r="A154" s="7">
        <v>211158953</v>
      </c>
      <c r="B154" s="7" t="s">
        <v>5</v>
      </c>
      <c r="C154" s="23" t="s">
        <v>6</v>
      </c>
      <c r="D154" s="23" t="s">
        <v>7</v>
      </c>
      <c r="E154" s="5" t="s">
        <v>160</v>
      </c>
      <c r="F154" s="27" t="s">
        <v>507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spans="1:25" s="24" customFormat="1" ht="12.75">
      <c r="A155" s="7">
        <v>271562467</v>
      </c>
      <c r="B155" s="7" t="s">
        <v>5</v>
      </c>
      <c r="C155" s="23" t="s">
        <v>6</v>
      </c>
      <c r="D155" s="23" t="s">
        <v>7</v>
      </c>
      <c r="E155" s="5" t="s">
        <v>161</v>
      </c>
      <c r="F155" s="27" t="s">
        <v>507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spans="1:25" s="24" customFormat="1" ht="12.75">
      <c r="A156" s="7">
        <v>53501280</v>
      </c>
      <c r="B156" s="7" t="s">
        <v>5</v>
      </c>
      <c r="C156" s="23" t="s">
        <v>6</v>
      </c>
      <c r="D156" s="23" t="s">
        <v>7</v>
      </c>
      <c r="E156" s="5" t="s">
        <v>162</v>
      </c>
      <c r="F156" s="27" t="s">
        <v>507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spans="1:25" s="24" customFormat="1" ht="12.75">
      <c r="A157" s="7">
        <v>1690741909</v>
      </c>
      <c r="B157" s="7" t="s">
        <v>5</v>
      </c>
      <c r="C157" s="23" t="s">
        <v>6</v>
      </c>
      <c r="D157" s="23" t="s">
        <v>7</v>
      </c>
      <c r="E157" s="5" t="s">
        <v>163</v>
      </c>
      <c r="F157" s="27" t="s">
        <v>507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spans="1:25" s="24" customFormat="1" ht="12.75">
      <c r="A158" s="7">
        <v>317818364</v>
      </c>
      <c r="B158" s="7" t="s">
        <v>5</v>
      </c>
      <c r="C158" s="23" t="s">
        <v>6</v>
      </c>
      <c r="D158" s="23" t="s">
        <v>7</v>
      </c>
      <c r="E158" s="5" t="s">
        <v>164</v>
      </c>
      <c r="F158" s="27" t="s">
        <v>507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spans="1:25" s="24" customFormat="1" ht="12.75">
      <c r="A159" s="7">
        <v>1282155962</v>
      </c>
      <c r="B159" s="7" t="s">
        <v>5</v>
      </c>
      <c r="C159" s="23" t="s">
        <v>6</v>
      </c>
      <c r="D159" s="23" t="s">
        <v>7</v>
      </c>
      <c r="E159" s="5" t="s">
        <v>165</v>
      </c>
      <c r="F159" s="27" t="s">
        <v>507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spans="1:25" s="24" customFormat="1" ht="12.75">
      <c r="A160" s="7">
        <v>1447302999</v>
      </c>
      <c r="B160" s="7" t="s">
        <v>5</v>
      </c>
      <c r="C160" s="23" t="s">
        <v>6</v>
      </c>
      <c r="D160" s="23" t="s">
        <v>7</v>
      </c>
      <c r="E160" s="5" t="s">
        <v>166</v>
      </c>
      <c r="F160" s="28" t="s">
        <v>505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spans="1:25" s="24" customFormat="1" ht="12.75">
      <c r="A161" s="7">
        <v>1542380813</v>
      </c>
      <c r="B161" s="7" t="s">
        <v>5</v>
      </c>
      <c r="C161" s="23" t="s">
        <v>6</v>
      </c>
      <c r="D161" s="23" t="s">
        <v>7</v>
      </c>
      <c r="E161" s="5" t="s">
        <v>167</v>
      </c>
      <c r="F161" s="27" t="s">
        <v>507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spans="1:25" s="24" customFormat="1" ht="12.75">
      <c r="A162" s="7">
        <v>323419246</v>
      </c>
      <c r="B162" s="7" t="s">
        <v>5</v>
      </c>
      <c r="C162" s="23" t="s">
        <v>6</v>
      </c>
      <c r="D162" s="23" t="s">
        <v>7</v>
      </c>
      <c r="E162" s="5" t="s">
        <v>168</v>
      </c>
      <c r="F162" s="28" t="s">
        <v>505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spans="1:25" s="24" customFormat="1" ht="12.75">
      <c r="A163" s="7">
        <v>1062207010</v>
      </c>
      <c r="B163" s="7" t="s">
        <v>5</v>
      </c>
      <c r="C163" s="23" t="s">
        <v>6</v>
      </c>
      <c r="D163" s="23" t="s">
        <v>7</v>
      </c>
      <c r="E163" s="5" t="s">
        <v>169</v>
      </c>
      <c r="F163" s="27" t="s">
        <v>507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spans="1:25" s="24" customFormat="1" ht="12.75">
      <c r="A164" s="7">
        <v>261766502</v>
      </c>
      <c r="B164" s="7" t="s">
        <v>5</v>
      </c>
      <c r="C164" s="23" t="s">
        <v>6</v>
      </c>
      <c r="D164" s="23" t="s">
        <v>7</v>
      </c>
      <c r="E164" s="5" t="s">
        <v>170</v>
      </c>
      <c r="F164" s="27" t="s">
        <v>507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spans="1:25" s="24" customFormat="1" ht="12.75">
      <c r="A165" s="7">
        <v>277875863</v>
      </c>
      <c r="B165" s="7" t="s">
        <v>5</v>
      </c>
      <c r="C165" s="23" t="s">
        <v>6</v>
      </c>
      <c r="D165" s="23" t="s">
        <v>7</v>
      </c>
      <c r="E165" s="5" t="s">
        <v>171</v>
      </c>
      <c r="F165" s="27" t="s">
        <v>507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1:25" s="24" customFormat="1" ht="12.75">
      <c r="A166" s="7">
        <v>186778702</v>
      </c>
      <c r="B166" s="7" t="s">
        <v>5</v>
      </c>
      <c r="C166" s="23" t="s">
        <v>6</v>
      </c>
      <c r="D166" s="23" t="s">
        <v>7</v>
      </c>
      <c r="E166" s="5" t="s">
        <v>172</v>
      </c>
      <c r="F166" s="27" t="s">
        <v>507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spans="1:25" s="24" customFormat="1" ht="12.75">
      <c r="A167" s="7">
        <v>431811888</v>
      </c>
      <c r="B167" s="7" t="s">
        <v>5</v>
      </c>
      <c r="C167" s="23" t="s">
        <v>6</v>
      </c>
      <c r="D167" s="23" t="s">
        <v>7</v>
      </c>
      <c r="E167" s="5" t="s">
        <v>173</v>
      </c>
      <c r="F167" s="27" t="s">
        <v>507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spans="1:25" s="24" customFormat="1" ht="12.75">
      <c r="A168" s="7">
        <v>293720044</v>
      </c>
      <c r="B168" s="7" t="s">
        <v>5</v>
      </c>
      <c r="C168" s="23" t="s">
        <v>6</v>
      </c>
      <c r="D168" s="23" t="s">
        <v>7</v>
      </c>
      <c r="E168" s="5" t="s">
        <v>174</v>
      </c>
      <c r="F168" s="27" t="s">
        <v>507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spans="1:25" s="24" customFormat="1" ht="12.75">
      <c r="A169" s="7">
        <v>169808445</v>
      </c>
      <c r="B169" s="7" t="s">
        <v>5</v>
      </c>
      <c r="C169" s="23" t="s">
        <v>6</v>
      </c>
      <c r="D169" s="23" t="s">
        <v>7</v>
      </c>
      <c r="E169" s="5" t="s">
        <v>175</v>
      </c>
      <c r="F169" s="27" t="s">
        <v>507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spans="1:25" s="24" customFormat="1" ht="12.75">
      <c r="A170" s="7">
        <v>181507452</v>
      </c>
      <c r="B170" s="7" t="s">
        <v>5</v>
      </c>
      <c r="C170" s="23" t="s">
        <v>6</v>
      </c>
      <c r="D170" s="23" t="s">
        <v>7</v>
      </c>
      <c r="E170" s="5" t="s">
        <v>176</v>
      </c>
      <c r="F170" s="27" t="s">
        <v>507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spans="1:25" s="24" customFormat="1" ht="12.75">
      <c r="A171" s="7">
        <v>514386663</v>
      </c>
      <c r="B171" s="7" t="s">
        <v>5</v>
      </c>
      <c r="C171" s="23" t="s">
        <v>6</v>
      </c>
      <c r="D171" s="23" t="s">
        <v>7</v>
      </c>
      <c r="E171" s="5" t="s">
        <v>177</v>
      </c>
      <c r="F171" s="27" t="s">
        <v>507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spans="1:25" s="24" customFormat="1" ht="12.75">
      <c r="A172" s="7">
        <v>1430584463</v>
      </c>
      <c r="B172" s="7" t="s">
        <v>5</v>
      </c>
      <c r="C172" s="23" t="s">
        <v>6</v>
      </c>
      <c r="D172" s="23" t="s">
        <v>7</v>
      </c>
      <c r="E172" s="5" t="s">
        <v>178</v>
      </c>
      <c r="F172" s="27" t="s">
        <v>507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1:25" s="24" customFormat="1" ht="12.75">
      <c r="A173" s="7">
        <v>1450808630</v>
      </c>
      <c r="B173" s="7" t="s">
        <v>5</v>
      </c>
      <c r="C173" s="23" t="s">
        <v>6</v>
      </c>
      <c r="D173" s="23" t="s">
        <v>7</v>
      </c>
      <c r="E173" s="5" t="s">
        <v>179</v>
      </c>
      <c r="F173" s="28" t="s">
        <v>505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spans="1:25" s="24" customFormat="1" ht="12.75">
      <c r="A174" s="7">
        <v>207302282</v>
      </c>
      <c r="B174" s="7" t="s">
        <v>5</v>
      </c>
      <c r="C174" s="23" t="s">
        <v>6</v>
      </c>
      <c r="D174" s="23" t="s">
        <v>7</v>
      </c>
      <c r="E174" s="5" t="s">
        <v>180</v>
      </c>
      <c r="F174" s="28" t="s">
        <v>505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spans="1:25" s="24" customFormat="1" ht="12.75">
      <c r="A175" s="7">
        <v>2389628095</v>
      </c>
      <c r="B175" s="7" t="s">
        <v>5</v>
      </c>
      <c r="C175" s="23" t="s">
        <v>6</v>
      </c>
      <c r="D175" s="23" t="s">
        <v>7</v>
      </c>
      <c r="E175" s="5" t="s">
        <v>181</v>
      </c>
      <c r="F175" s="26" t="s">
        <v>508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spans="1:25" s="24" customFormat="1" ht="12.75">
      <c r="A176" s="7">
        <v>1381379875</v>
      </c>
      <c r="B176" s="7" t="s">
        <v>5</v>
      </c>
      <c r="C176" s="23" t="s">
        <v>6</v>
      </c>
      <c r="D176" s="23" t="s">
        <v>7</v>
      </c>
      <c r="E176" s="5" t="s">
        <v>182</v>
      </c>
      <c r="F176" s="27" t="s">
        <v>507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spans="1:25" s="24" customFormat="1" ht="12.75">
      <c r="A177" s="7">
        <v>178031903</v>
      </c>
      <c r="B177" s="7" t="s">
        <v>5</v>
      </c>
      <c r="C177" s="23" t="s">
        <v>6</v>
      </c>
      <c r="D177" s="23" t="s">
        <v>7</v>
      </c>
      <c r="E177" s="5" t="s">
        <v>183</v>
      </c>
      <c r="F177" s="27" t="s">
        <v>507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spans="1:25" s="24" customFormat="1" ht="12.75">
      <c r="A178" s="7">
        <v>565785079</v>
      </c>
      <c r="B178" s="7" t="s">
        <v>5</v>
      </c>
      <c r="C178" s="23" t="s">
        <v>6</v>
      </c>
      <c r="D178" s="23" t="s">
        <v>7</v>
      </c>
      <c r="E178" s="5" t="s">
        <v>184</v>
      </c>
      <c r="F178" s="27" t="s">
        <v>507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1:25" s="24" customFormat="1" ht="12.75">
      <c r="A179" s="7">
        <v>105244951</v>
      </c>
      <c r="B179" s="7" t="s">
        <v>5</v>
      </c>
      <c r="C179" s="23" t="s">
        <v>6</v>
      </c>
      <c r="D179" s="23" t="s">
        <v>7</v>
      </c>
      <c r="E179" s="5" t="s">
        <v>185</v>
      </c>
      <c r="F179" s="27" t="s">
        <v>507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spans="1:25" s="24" customFormat="1" ht="12.75">
      <c r="A180" s="7">
        <v>1454842874</v>
      </c>
      <c r="B180" s="7" t="s">
        <v>5</v>
      </c>
      <c r="C180" s="23" t="s">
        <v>6</v>
      </c>
      <c r="D180" s="23" t="s">
        <v>7</v>
      </c>
      <c r="E180" s="5" t="s">
        <v>186</v>
      </c>
      <c r="F180" s="26" t="s">
        <v>508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1:25" s="24" customFormat="1" ht="12.75">
      <c r="A181" s="7">
        <v>593029712</v>
      </c>
      <c r="B181" s="7" t="s">
        <v>5</v>
      </c>
      <c r="C181" s="23" t="s">
        <v>6</v>
      </c>
      <c r="D181" s="23" t="s">
        <v>7</v>
      </c>
      <c r="E181" s="5" t="s">
        <v>187</v>
      </c>
      <c r="F181" s="27" t="s">
        <v>507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spans="1:25" s="24" customFormat="1" ht="12.75">
      <c r="A182" s="7">
        <v>1034365332</v>
      </c>
      <c r="B182" s="7" t="s">
        <v>5</v>
      </c>
      <c r="C182" s="23" t="s">
        <v>6</v>
      </c>
      <c r="D182" s="23" t="s">
        <v>7</v>
      </c>
      <c r="E182" s="5" t="s">
        <v>188</v>
      </c>
      <c r="F182" s="27" t="s">
        <v>507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spans="1:25" s="24" customFormat="1" ht="12.75">
      <c r="A183" s="7">
        <v>470806864</v>
      </c>
      <c r="B183" s="7" t="s">
        <v>5</v>
      </c>
      <c r="C183" s="23" t="s">
        <v>6</v>
      </c>
      <c r="D183" s="23" t="s">
        <v>7</v>
      </c>
      <c r="E183" s="5" t="s">
        <v>189</v>
      </c>
      <c r="F183" s="27" t="s">
        <v>507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spans="1:25" s="24" customFormat="1" ht="12.75">
      <c r="A184" s="7">
        <v>232876240</v>
      </c>
      <c r="B184" s="7" t="s">
        <v>5</v>
      </c>
      <c r="C184" s="23" t="s">
        <v>6</v>
      </c>
      <c r="D184" s="23" t="s">
        <v>7</v>
      </c>
      <c r="E184" s="5" t="s">
        <v>190</v>
      </c>
      <c r="F184" s="27" t="s">
        <v>507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spans="1:25" s="24" customFormat="1" ht="12.75">
      <c r="A185" s="7">
        <v>151885557</v>
      </c>
      <c r="B185" s="7" t="s">
        <v>5</v>
      </c>
      <c r="C185" s="23" t="s">
        <v>6</v>
      </c>
      <c r="D185" s="23" t="s">
        <v>7</v>
      </c>
      <c r="E185" s="5" t="s">
        <v>191</v>
      </c>
      <c r="F185" s="27" t="s">
        <v>507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spans="1:25" s="24" customFormat="1" ht="12.75">
      <c r="A186" s="7">
        <v>337920322</v>
      </c>
      <c r="B186" s="7" t="s">
        <v>5</v>
      </c>
      <c r="C186" s="23" t="s">
        <v>6</v>
      </c>
      <c r="D186" s="23" t="s">
        <v>7</v>
      </c>
      <c r="E186" s="5" t="s">
        <v>192</v>
      </c>
      <c r="F186" s="27" t="s">
        <v>507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spans="1:25" s="24" customFormat="1" ht="12.75">
      <c r="A187" s="7">
        <v>165088662</v>
      </c>
      <c r="B187" s="7" t="s">
        <v>5</v>
      </c>
      <c r="C187" s="23" t="s">
        <v>6</v>
      </c>
      <c r="D187" s="23" t="s">
        <v>7</v>
      </c>
      <c r="E187" s="5" t="s">
        <v>193</v>
      </c>
      <c r="F187" s="27" t="s">
        <v>507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spans="1:25" s="24" customFormat="1" ht="12.75">
      <c r="A188" s="7">
        <v>1447393059</v>
      </c>
      <c r="B188" s="7" t="s">
        <v>5</v>
      </c>
      <c r="C188" s="23" t="s">
        <v>6</v>
      </c>
      <c r="D188" s="23" t="s">
        <v>7</v>
      </c>
      <c r="E188" s="5" t="s">
        <v>194</v>
      </c>
      <c r="F188" s="27" t="s">
        <v>507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spans="1:25" s="24" customFormat="1" ht="12.75">
      <c r="A189" s="7">
        <v>1064692687</v>
      </c>
      <c r="B189" s="7" t="s">
        <v>5</v>
      </c>
      <c r="C189" s="23" t="s">
        <v>6</v>
      </c>
      <c r="D189" s="23" t="s">
        <v>7</v>
      </c>
      <c r="E189" s="5" t="s">
        <v>195</v>
      </c>
      <c r="F189" s="28" t="s">
        <v>505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spans="1:25" s="24" customFormat="1" ht="12.75">
      <c r="A190" s="7">
        <v>1000721580</v>
      </c>
      <c r="B190" s="7" t="s">
        <v>5</v>
      </c>
      <c r="C190" s="23" t="s">
        <v>6</v>
      </c>
      <c r="D190" s="23" t="s">
        <v>7</v>
      </c>
      <c r="E190" s="5" t="s">
        <v>196</v>
      </c>
      <c r="F190" s="27" t="s">
        <v>507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spans="1:25" s="24" customFormat="1" ht="12.75">
      <c r="A191" s="7">
        <v>66404218</v>
      </c>
      <c r="B191" s="7" t="s">
        <v>5</v>
      </c>
      <c r="C191" s="23" t="s">
        <v>6</v>
      </c>
      <c r="D191" s="23" t="s">
        <v>7</v>
      </c>
      <c r="E191" s="5" t="s">
        <v>197</v>
      </c>
      <c r="F191" s="27" t="s">
        <v>507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spans="1:25" s="24" customFormat="1" ht="12.75">
      <c r="A192" s="7">
        <v>66288574</v>
      </c>
      <c r="B192" s="7" t="s">
        <v>5</v>
      </c>
      <c r="C192" s="23" t="s">
        <v>6</v>
      </c>
      <c r="D192" s="23" t="s">
        <v>7</v>
      </c>
      <c r="E192" s="5" t="s">
        <v>198</v>
      </c>
      <c r="F192" s="27" t="s">
        <v>507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spans="1:25" s="24" customFormat="1" ht="12.75">
      <c r="A193" s="7">
        <v>526807890</v>
      </c>
      <c r="B193" s="7" t="s">
        <v>5</v>
      </c>
      <c r="C193" s="23" t="s">
        <v>6</v>
      </c>
      <c r="D193" s="23" t="s">
        <v>7</v>
      </c>
      <c r="E193" s="5" t="s">
        <v>199</v>
      </c>
      <c r="F193" s="27" t="s">
        <v>507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spans="1:25" s="24" customFormat="1" ht="12.75">
      <c r="A194" s="7">
        <v>206813338</v>
      </c>
      <c r="B194" s="7" t="s">
        <v>5</v>
      </c>
      <c r="C194" s="23" t="s">
        <v>6</v>
      </c>
      <c r="D194" s="23" t="s">
        <v>7</v>
      </c>
      <c r="E194" s="5" t="s">
        <v>200</v>
      </c>
      <c r="F194" s="27" t="s">
        <v>507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spans="1:25" s="24" customFormat="1" ht="12.75">
      <c r="A195" s="7">
        <v>287197163</v>
      </c>
      <c r="B195" s="7" t="s">
        <v>5</v>
      </c>
      <c r="C195" s="23" t="s">
        <v>6</v>
      </c>
      <c r="D195" s="23" t="s">
        <v>7</v>
      </c>
      <c r="E195" s="5" t="s">
        <v>201</v>
      </c>
      <c r="F195" s="27" t="s">
        <v>507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spans="1:25" s="24" customFormat="1" ht="12.75">
      <c r="A196" s="7">
        <v>324279904</v>
      </c>
      <c r="B196" s="7" t="s">
        <v>5</v>
      </c>
      <c r="C196" s="23" t="s">
        <v>6</v>
      </c>
      <c r="D196" s="23" t="s">
        <v>7</v>
      </c>
      <c r="E196" s="5" t="s">
        <v>202</v>
      </c>
      <c r="F196" s="27" t="s">
        <v>507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spans="1:25" s="24" customFormat="1" ht="12.75">
      <c r="A197" s="7">
        <v>367093050</v>
      </c>
      <c r="B197" s="7" t="s">
        <v>5</v>
      </c>
      <c r="C197" s="23" t="s">
        <v>6</v>
      </c>
      <c r="D197" s="23" t="s">
        <v>7</v>
      </c>
      <c r="E197" s="5" t="s">
        <v>203</v>
      </c>
      <c r="F197" s="27" t="s">
        <v>507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spans="1:25" s="24" customFormat="1" ht="12.75">
      <c r="A198" s="7">
        <v>508791975</v>
      </c>
      <c r="B198" s="7" t="s">
        <v>5</v>
      </c>
      <c r="C198" s="23" t="s">
        <v>6</v>
      </c>
      <c r="D198" s="23" t="s">
        <v>7</v>
      </c>
      <c r="E198" s="5" t="s">
        <v>204</v>
      </c>
      <c r="F198" s="27" t="s">
        <v>507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spans="1:25" s="24" customFormat="1" ht="12.75">
      <c r="A199" s="7">
        <v>163733884</v>
      </c>
      <c r="B199" s="7" t="s">
        <v>5</v>
      </c>
      <c r="C199" s="23" t="s">
        <v>6</v>
      </c>
      <c r="D199" s="23" t="s">
        <v>7</v>
      </c>
      <c r="E199" s="5" t="s">
        <v>205</v>
      </c>
      <c r="F199" s="27" t="s">
        <v>507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spans="1:25" s="24" customFormat="1" ht="12.75">
      <c r="A200" s="7">
        <v>1045329161</v>
      </c>
      <c r="B200" s="7" t="s">
        <v>5</v>
      </c>
      <c r="C200" s="23" t="s">
        <v>6</v>
      </c>
      <c r="D200" s="23" t="s">
        <v>7</v>
      </c>
      <c r="E200" s="5" t="s">
        <v>206</v>
      </c>
      <c r="F200" s="27" t="s">
        <v>507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spans="1:25" s="24" customFormat="1" ht="12.75">
      <c r="A201" s="7">
        <v>420553279</v>
      </c>
      <c r="B201" s="7" t="s">
        <v>5</v>
      </c>
      <c r="C201" s="23" t="s">
        <v>6</v>
      </c>
      <c r="D201" s="23" t="s">
        <v>7</v>
      </c>
      <c r="E201" s="5" t="s">
        <v>207</v>
      </c>
      <c r="F201" s="27" t="s">
        <v>507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spans="1:25" s="24" customFormat="1" ht="12.75">
      <c r="A202" s="7">
        <v>196205822</v>
      </c>
      <c r="B202" s="7" t="s">
        <v>5</v>
      </c>
      <c r="C202" s="23" t="s">
        <v>6</v>
      </c>
      <c r="D202" s="23" t="s">
        <v>7</v>
      </c>
      <c r="E202" s="5" t="s">
        <v>208</v>
      </c>
      <c r="F202" s="27" t="s">
        <v>507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spans="1:25" s="24" customFormat="1" ht="12.75">
      <c r="A203" s="7">
        <v>287029678</v>
      </c>
      <c r="B203" s="7" t="s">
        <v>5</v>
      </c>
      <c r="C203" s="23" t="s">
        <v>6</v>
      </c>
      <c r="D203" s="23" t="s">
        <v>7</v>
      </c>
      <c r="E203" s="5" t="s">
        <v>209</v>
      </c>
      <c r="F203" s="27" t="s">
        <v>507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spans="1:25" s="24" customFormat="1" ht="12.75">
      <c r="A204" s="7">
        <v>768924215</v>
      </c>
      <c r="B204" s="7" t="s">
        <v>5</v>
      </c>
      <c r="C204" s="23" t="s">
        <v>6</v>
      </c>
      <c r="D204" s="23" t="s">
        <v>7</v>
      </c>
      <c r="E204" s="5" t="s">
        <v>210</v>
      </c>
      <c r="F204" s="27" t="s">
        <v>507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spans="1:25" s="24" customFormat="1" ht="12.75">
      <c r="A205" s="7">
        <v>280333191</v>
      </c>
      <c r="B205" s="7" t="s">
        <v>5</v>
      </c>
      <c r="C205" s="23" t="s">
        <v>6</v>
      </c>
      <c r="D205" s="23" t="s">
        <v>7</v>
      </c>
      <c r="E205" s="5" t="s">
        <v>211</v>
      </c>
      <c r="F205" s="27" t="s">
        <v>507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spans="1:25" s="24" customFormat="1" ht="12.75">
      <c r="A206" s="7">
        <v>155523724</v>
      </c>
      <c r="B206" s="7" t="s">
        <v>5</v>
      </c>
      <c r="C206" s="23" t="s">
        <v>6</v>
      </c>
      <c r="D206" s="23" t="s">
        <v>7</v>
      </c>
      <c r="E206" s="5" t="s">
        <v>212</v>
      </c>
      <c r="F206" s="27" t="s">
        <v>507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spans="1:25" s="24" customFormat="1" ht="12.75">
      <c r="A207" s="7">
        <v>1089018457</v>
      </c>
      <c r="B207" s="7" t="s">
        <v>5</v>
      </c>
      <c r="C207" s="23" t="s">
        <v>6</v>
      </c>
      <c r="D207" s="23" t="s">
        <v>7</v>
      </c>
      <c r="E207" s="5" t="s">
        <v>213</v>
      </c>
      <c r="F207" s="27" t="s">
        <v>507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spans="1:25" s="24" customFormat="1" ht="12.75">
      <c r="A208" s="7">
        <v>283174736</v>
      </c>
      <c r="B208" s="7" t="s">
        <v>5</v>
      </c>
      <c r="C208" s="23" t="s">
        <v>6</v>
      </c>
      <c r="D208" s="23" t="s">
        <v>7</v>
      </c>
      <c r="E208" s="5" t="s">
        <v>213</v>
      </c>
      <c r="F208" s="27" t="s">
        <v>507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spans="1:25" s="24" customFormat="1" ht="12.75">
      <c r="A209" s="7">
        <v>491946853</v>
      </c>
      <c r="B209" s="7" t="s">
        <v>5</v>
      </c>
      <c r="C209" s="23" t="s">
        <v>6</v>
      </c>
      <c r="D209" s="23" t="s">
        <v>7</v>
      </c>
      <c r="E209" s="5" t="s">
        <v>214</v>
      </c>
      <c r="F209" s="27" t="s">
        <v>507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spans="1:25" s="24" customFormat="1" ht="12.75">
      <c r="A210" s="7">
        <v>757367286</v>
      </c>
      <c r="B210" s="7" t="s">
        <v>5</v>
      </c>
      <c r="C210" s="23" t="s">
        <v>6</v>
      </c>
      <c r="D210" s="23" t="s">
        <v>7</v>
      </c>
      <c r="E210" s="5" t="s">
        <v>215</v>
      </c>
      <c r="F210" s="27" t="s">
        <v>507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spans="1:25" s="24" customFormat="1" ht="12.75">
      <c r="A211" s="7">
        <v>624101928</v>
      </c>
      <c r="B211" s="7" t="s">
        <v>5</v>
      </c>
      <c r="C211" s="23" t="s">
        <v>6</v>
      </c>
      <c r="D211" s="23" t="s">
        <v>7</v>
      </c>
      <c r="E211" s="5" t="s">
        <v>216</v>
      </c>
      <c r="F211" s="27" t="s">
        <v>507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spans="1:25" s="24" customFormat="1" ht="12.75">
      <c r="A212" s="7">
        <v>130484362</v>
      </c>
      <c r="B212" s="7" t="s">
        <v>5</v>
      </c>
      <c r="C212" s="23" t="s">
        <v>6</v>
      </c>
      <c r="D212" s="23" t="s">
        <v>7</v>
      </c>
      <c r="E212" s="5" t="s">
        <v>77</v>
      </c>
      <c r="F212" s="26" t="s">
        <v>508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spans="1:25" s="24" customFormat="1" ht="12.75">
      <c r="A213" s="7">
        <v>450512131</v>
      </c>
      <c r="B213" s="7" t="s">
        <v>5</v>
      </c>
      <c r="C213" s="23" t="s">
        <v>6</v>
      </c>
      <c r="D213" s="23" t="s">
        <v>7</v>
      </c>
      <c r="E213" s="5" t="s">
        <v>217</v>
      </c>
      <c r="F213" s="27" t="s">
        <v>507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spans="1:25" s="24" customFormat="1" ht="12.75">
      <c r="A214" s="7">
        <v>183117136</v>
      </c>
      <c r="B214" s="7" t="s">
        <v>5</v>
      </c>
      <c r="C214" s="23" t="s">
        <v>6</v>
      </c>
      <c r="D214" s="23" t="s">
        <v>7</v>
      </c>
      <c r="E214" s="5" t="s">
        <v>218</v>
      </c>
      <c r="F214" s="27" t="s">
        <v>507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spans="1:25" s="24" customFormat="1" ht="12.75">
      <c r="A215" s="7">
        <v>659377853</v>
      </c>
      <c r="B215" s="7" t="s">
        <v>5</v>
      </c>
      <c r="C215" s="23" t="s">
        <v>6</v>
      </c>
      <c r="D215" s="23" t="s">
        <v>7</v>
      </c>
      <c r="E215" s="5" t="s">
        <v>219</v>
      </c>
      <c r="F215" s="27" t="s">
        <v>507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spans="1:25" s="24" customFormat="1" ht="12.75">
      <c r="A216" s="7">
        <v>685286566</v>
      </c>
      <c r="B216" s="7" t="s">
        <v>5</v>
      </c>
      <c r="C216" s="23" t="s">
        <v>6</v>
      </c>
      <c r="D216" s="23" t="s">
        <v>7</v>
      </c>
      <c r="E216" s="5" t="s">
        <v>220</v>
      </c>
      <c r="F216" s="27" t="s">
        <v>507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spans="1:25" s="24" customFormat="1" ht="12.75">
      <c r="A217" s="7">
        <v>99920305</v>
      </c>
      <c r="B217" s="7" t="s">
        <v>5</v>
      </c>
      <c r="C217" s="23" t="s">
        <v>6</v>
      </c>
      <c r="D217" s="23" t="s">
        <v>7</v>
      </c>
      <c r="E217" s="5" t="s">
        <v>221</v>
      </c>
      <c r="F217" s="27" t="s">
        <v>507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spans="1:25" s="24" customFormat="1" ht="12.75">
      <c r="A218" s="7">
        <v>190304867</v>
      </c>
      <c r="B218" s="7" t="s">
        <v>5</v>
      </c>
      <c r="C218" s="23" t="s">
        <v>6</v>
      </c>
      <c r="D218" s="23" t="s">
        <v>7</v>
      </c>
      <c r="E218" s="5" t="s">
        <v>222</v>
      </c>
      <c r="F218" s="27" t="s">
        <v>507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spans="1:25" s="24" customFormat="1" ht="12.75">
      <c r="A219" s="7">
        <v>62758088</v>
      </c>
      <c r="B219" s="7" t="s">
        <v>5</v>
      </c>
      <c r="C219" s="23" t="s">
        <v>6</v>
      </c>
      <c r="D219" s="23" t="s">
        <v>7</v>
      </c>
      <c r="E219" s="5" t="s">
        <v>223</v>
      </c>
      <c r="F219" s="27" t="s">
        <v>507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spans="1:25" s="24" customFormat="1" ht="12.75">
      <c r="A220" s="7">
        <v>284855023</v>
      </c>
      <c r="B220" s="7" t="s">
        <v>5</v>
      </c>
      <c r="C220" s="23" t="s">
        <v>6</v>
      </c>
      <c r="D220" s="23" t="s">
        <v>7</v>
      </c>
      <c r="E220" s="5" t="s">
        <v>224</v>
      </c>
      <c r="F220" s="27" t="s">
        <v>507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spans="1:25" s="24" customFormat="1" ht="12.75">
      <c r="A221" s="7">
        <v>1156310262</v>
      </c>
      <c r="B221" s="7" t="s">
        <v>5</v>
      </c>
      <c r="C221" s="23" t="s">
        <v>6</v>
      </c>
      <c r="D221" s="23" t="s">
        <v>7</v>
      </c>
      <c r="E221" s="5" t="s">
        <v>225</v>
      </c>
      <c r="F221" s="26" t="s">
        <v>508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spans="1:25" s="24" customFormat="1" ht="12.75">
      <c r="A222" s="7">
        <v>173167047</v>
      </c>
      <c r="B222" s="7" t="s">
        <v>5</v>
      </c>
      <c r="C222" s="23" t="s">
        <v>6</v>
      </c>
      <c r="D222" s="23" t="s">
        <v>7</v>
      </c>
      <c r="E222" s="5" t="s">
        <v>226</v>
      </c>
      <c r="F222" s="27" t="s">
        <v>507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spans="1:25" s="24" customFormat="1" ht="12.75">
      <c r="A223" s="7">
        <v>1946020572</v>
      </c>
      <c r="B223" s="7" t="s">
        <v>5</v>
      </c>
      <c r="C223" s="23" t="s">
        <v>6</v>
      </c>
      <c r="D223" s="23" t="s">
        <v>7</v>
      </c>
      <c r="E223" s="5" t="s">
        <v>226</v>
      </c>
      <c r="F223" s="27" t="s">
        <v>507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spans="1:25" s="24" customFormat="1" ht="12.75">
      <c r="A224" s="7">
        <v>742328965</v>
      </c>
      <c r="B224" s="7" t="s">
        <v>5</v>
      </c>
      <c r="C224" s="23" t="s">
        <v>6</v>
      </c>
      <c r="D224" s="23" t="s">
        <v>7</v>
      </c>
      <c r="E224" s="5" t="s">
        <v>227</v>
      </c>
      <c r="F224" s="27" t="s">
        <v>507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spans="1:25" s="24" customFormat="1" ht="12.75">
      <c r="A225" s="7">
        <v>166607266</v>
      </c>
      <c r="B225" s="7" t="s">
        <v>5</v>
      </c>
      <c r="C225" s="23" t="s">
        <v>6</v>
      </c>
      <c r="D225" s="23" t="s">
        <v>7</v>
      </c>
      <c r="E225" s="5" t="s">
        <v>228</v>
      </c>
      <c r="F225" s="27" t="s">
        <v>507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spans="1:25" s="24" customFormat="1" ht="12.75">
      <c r="A226" s="7">
        <v>1493086612</v>
      </c>
      <c r="B226" s="7" t="s">
        <v>5</v>
      </c>
      <c r="C226" s="23" t="s">
        <v>6</v>
      </c>
      <c r="D226" s="23" t="s">
        <v>7</v>
      </c>
      <c r="E226" s="5" t="s">
        <v>229</v>
      </c>
      <c r="F226" s="27" t="s">
        <v>507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spans="1:25" s="24" customFormat="1" ht="12.75">
      <c r="A227" s="7">
        <v>1427325193</v>
      </c>
      <c r="B227" s="7" t="s">
        <v>5</v>
      </c>
      <c r="C227" s="23" t="s">
        <v>6</v>
      </c>
      <c r="D227" s="23" t="s">
        <v>7</v>
      </c>
      <c r="E227" s="5" t="s">
        <v>230</v>
      </c>
      <c r="F227" s="27" t="s">
        <v>507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spans="1:25" s="24" customFormat="1" ht="12.75">
      <c r="A228" s="7">
        <v>1587747906</v>
      </c>
      <c r="B228" s="7" t="s">
        <v>5</v>
      </c>
      <c r="C228" s="23" t="s">
        <v>6</v>
      </c>
      <c r="D228" s="23" t="s">
        <v>7</v>
      </c>
      <c r="E228" s="5" t="s">
        <v>231</v>
      </c>
      <c r="F228" s="27" t="s">
        <v>507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spans="1:25" s="24" customFormat="1" ht="12.75">
      <c r="A229" s="7">
        <v>1782346872</v>
      </c>
      <c r="B229" s="7" t="s">
        <v>5</v>
      </c>
      <c r="C229" s="23" t="s">
        <v>6</v>
      </c>
      <c r="D229" s="23" t="s">
        <v>7</v>
      </c>
      <c r="E229" s="5" t="s">
        <v>232</v>
      </c>
      <c r="F229" s="27" t="s">
        <v>507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spans="1:25" s="24" customFormat="1" ht="12.75">
      <c r="A230" s="7">
        <v>141137057</v>
      </c>
      <c r="B230" s="7" t="s">
        <v>5</v>
      </c>
      <c r="C230" s="23" t="s">
        <v>6</v>
      </c>
      <c r="D230" s="23" t="s">
        <v>7</v>
      </c>
      <c r="E230" s="5" t="s">
        <v>233</v>
      </c>
      <c r="F230" s="27" t="s">
        <v>507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spans="1:25" s="24" customFormat="1" ht="12.75">
      <c r="A231" s="7">
        <v>2428615837</v>
      </c>
      <c r="B231" s="7" t="s">
        <v>5</v>
      </c>
      <c r="C231" s="23" t="s">
        <v>6</v>
      </c>
      <c r="D231" s="23" t="s">
        <v>7</v>
      </c>
      <c r="E231" s="5" t="s">
        <v>234</v>
      </c>
      <c r="F231" s="27" t="s">
        <v>507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spans="1:25" s="24" customFormat="1" ht="12.75">
      <c r="A232" s="7">
        <v>297607087</v>
      </c>
      <c r="B232" s="7" t="s">
        <v>5</v>
      </c>
      <c r="C232" s="23" t="s">
        <v>6</v>
      </c>
      <c r="D232" s="23" t="s">
        <v>7</v>
      </c>
      <c r="E232" s="5" t="s">
        <v>235</v>
      </c>
      <c r="F232" s="27" t="s">
        <v>507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spans="1:25" s="24" customFormat="1" ht="12.75">
      <c r="A233" s="7">
        <v>214152484</v>
      </c>
      <c r="B233" s="7" t="s">
        <v>5</v>
      </c>
      <c r="C233" s="23" t="s">
        <v>6</v>
      </c>
      <c r="D233" s="23" t="s">
        <v>7</v>
      </c>
      <c r="E233" s="5" t="s">
        <v>236</v>
      </c>
      <c r="F233" s="27" t="s">
        <v>507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spans="1:25" s="24" customFormat="1" ht="12.75">
      <c r="A234" s="7">
        <v>511670989</v>
      </c>
      <c r="B234" s="7" t="s">
        <v>5</v>
      </c>
      <c r="C234" s="23" t="s">
        <v>6</v>
      </c>
      <c r="D234" s="23" t="s">
        <v>7</v>
      </c>
      <c r="E234" s="5" t="s">
        <v>237</v>
      </c>
      <c r="F234" s="27" t="s">
        <v>507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spans="1:25" s="24" customFormat="1" ht="12.75">
      <c r="A235" s="7">
        <v>27190734</v>
      </c>
      <c r="B235" s="7" t="s">
        <v>5</v>
      </c>
      <c r="C235" s="23" t="s">
        <v>238</v>
      </c>
      <c r="D235" s="23" t="s">
        <v>7</v>
      </c>
      <c r="E235" s="7" t="s">
        <v>239</v>
      </c>
      <c r="F235" s="27" t="s">
        <v>507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spans="1:25" s="24" customFormat="1" ht="12.75">
      <c r="A236" s="7">
        <v>80016581</v>
      </c>
      <c r="B236" s="7" t="s">
        <v>5</v>
      </c>
      <c r="C236" s="23" t="s">
        <v>238</v>
      </c>
      <c r="D236" s="7" t="s">
        <v>7</v>
      </c>
      <c r="E236" s="7" t="s">
        <v>240</v>
      </c>
      <c r="F236" s="27" t="s">
        <v>507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spans="1:25" s="24" customFormat="1" ht="12.75">
      <c r="A237" s="7">
        <v>122211558</v>
      </c>
      <c r="B237" s="7" t="s">
        <v>5</v>
      </c>
      <c r="C237" s="23" t="s">
        <v>238</v>
      </c>
      <c r="D237" s="23" t="s">
        <v>7</v>
      </c>
      <c r="E237" s="7" t="s">
        <v>241</v>
      </c>
      <c r="F237" s="27" t="s">
        <v>507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spans="1:25" s="24" customFormat="1" ht="12.75">
      <c r="A238" s="7">
        <v>127894622</v>
      </c>
      <c r="B238" s="7" t="s">
        <v>5</v>
      </c>
      <c r="C238" s="23" t="s">
        <v>238</v>
      </c>
      <c r="D238" s="23" t="s">
        <v>7</v>
      </c>
      <c r="E238" s="7" t="s">
        <v>242</v>
      </c>
      <c r="F238" s="27" t="s">
        <v>507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spans="1:25" s="24" customFormat="1" ht="12.75">
      <c r="A239" s="7">
        <v>136382088</v>
      </c>
      <c r="B239" s="7" t="s">
        <v>5</v>
      </c>
      <c r="C239" s="23" t="s">
        <v>238</v>
      </c>
      <c r="D239" s="23" t="s">
        <v>7</v>
      </c>
      <c r="E239" s="7" t="s">
        <v>243</v>
      </c>
      <c r="F239" s="27" t="s">
        <v>507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spans="1:25" s="24" customFormat="1" ht="51">
      <c r="A240" s="7">
        <v>142704481</v>
      </c>
      <c r="B240" s="7" t="s">
        <v>5</v>
      </c>
      <c r="C240" s="23" t="s">
        <v>238</v>
      </c>
      <c r="D240" s="7" t="s">
        <v>7</v>
      </c>
      <c r="E240" s="25" t="s">
        <v>244</v>
      </c>
      <c r="F240" s="28" t="s">
        <v>507</v>
      </c>
      <c r="G240" s="28" t="s">
        <v>513</v>
      </c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spans="1:25" s="24" customFormat="1" ht="12.75">
      <c r="A241" s="7">
        <v>238863610</v>
      </c>
      <c r="B241" s="7" t="s">
        <v>5</v>
      </c>
      <c r="C241" s="23" t="s">
        <v>238</v>
      </c>
      <c r="D241" s="23" t="s">
        <v>7</v>
      </c>
      <c r="E241" s="7" t="s">
        <v>245</v>
      </c>
      <c r="F241" s="26" t="s">
        <v>508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spans="1:25" s="24" customFormat="1" ht="12.75">
      <c r="A242" s="7">
        <v>303120592</v>
      </c>
      <c r="B242" s="7" t="s">
        <v>5</v>
      </c>
      <c r="C242" s="23" t="s">
        <v>238</v>
      </c>
      <c r="D242" s="23" t="s">
        <v>7</v>
      </c>
      <c r="E242" s="7" t="s">
        <v>246</v>
      </c>
      <c r="F242" s="27" t="s">
        <v>507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spans="1:25" s="24" customFormat="1" ht="12.75">
      <c r="A243" s="7">
        <v>375366165</v>
      </c>
      <c r="B243" s="7" t="s">
        <v>5</v>
      </c>
      <c r="C243" s="23" t="s">
        <v>238</v>
      </c>
      <c r="D243" s="23" t="s">
        <v>7</v>
      </c>
      <c r="E243" s="7" t="s">
        <v>247</v>
      </c>
      <c r="F243" s="27" t="s">
        <v>507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spans="1:25" s="24" customFormat="1" ht="12.75">
      <c r="A244" s="7">
        <v>484123181</v>
      </c>
      <c r="B244" s="7" t="s">
        <v>5</v>
      </c>
      <c r="C244" s="23" t="s">
        <v>238</v>
      </c>
      <c r="D244" s="23" t="s">
        <v>7</v>
      </c>
      <c r="E244" s="7" t="s">
        <v>248</v>
      </c>
      <c r="F244" s="27" t="s">
        <v>507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spans="1:25" s="24" customFormat="1" ht="12.75">
      <c r="A245" s="7">
        <v>695303632</v>
      </c>
      <c r="B245" s="7" t="s">
        <v>5</v>
      </c>
      <c r="C245" s="23" t="s">
        <v>238</v>
      </c>
      <c r="D245" s="23" t="s">
        <v>7</v>
      </c>
      <c r="E245" s="7" t="s">
        <v>249</v>
      </c>
      <c r="F245" s="27" t="s">
        <v>507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spans="1:25" s="24" customFormat="1" ht="12.75">
      <c r="A246" s="7">
        <v>699370117</v>
      </c>
      <c r="B246" s="7" t="s">
        <v>5</v>
      </c>
      <c r="C246" s="23" t="s">
        <v>238</v>
      </c>
      <c r="D246" s="23" t="s">
        <v>7</v>
      </c>
      <c r="E246" s="7" t="s">
        <v>250</v>
      </c>
      <c r="F246" s="27" t="s">
        <v>507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spans="1:25" s="24" customFormat="1" ht="12.75">
      <c r="A247" s="7">
        <v>799601634</v>
      </c>
      <c r="B247" s="7" t="s">
        <v>5</v>
      </c>
      <c r="C247" s="23" t="s">
        <v>238</v>
      </c>
      <c r="D247" s="23" t="s">
        <v>7</v>
      </c>
      <c r="E247" s="7" t="s">
        <v>251</v>
      </c>
      <c r="F247" s="27" t="s">
        <v>507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spans="1:25" s="24" customFormat="1" ht="12.75">
      <c r="A248" s="7">
        <v>1063208859</v>
      </c>
      <c r="B248" s="7" t="s">
        <v>5</v>
      </c>
      <c r="C248" s="23" t="s">
        <v>238</v>
      </c>
      <c r="D248" s="23" t="s">
        <v>7</v>
      </c>
      <c r="E248" s="7" t="s">
        <v>252</v>
      </c>
      <c r="F248" s="27" t="s">
        <v>507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spans="1:25" s="24" customFormat="1" ht="12.75">
      <c r="A249" s="7">
        <v>1351369312</v>
      </c>
      <c r="B249" s="7" t="s">
        <v>5</v>
      </c>
      <c r="C249" s="23" t="s">
        <v>238</v>
      </c>
      <c r="D249" s="23" t="s">
        <v>7</v>
      </c>
      <c r="E249" s="7" t="s">
        <v>253</v>
      </c>
      <c r="F249" s="27" t="s">
        <v>507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spans="1:25" s="24" customFormat="1" ht="12.75">
      <c r="A250" s="7">
        <v>1428326558</v>
      </c>
      <c r="B250" s="7" t="s">
        <v>5</v>
      </c>
      <c r="C250" s="23" t="s">
        <v>238</v>
      </c>
      <c r="D250" s="23" t="s">
        <v>7</v>
      </c>
      <c r="E250" s="7" t="s">
        <v>254</v>
      </c>
      <c r="F250" s="27" t="s">
        <v>507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spans="1:25" s="24" customFormat="1" ht="12.75">
      <c r="A251" s="7">
        <v>1457793802</v>
      </c>
      <c r="B251" s="7" t="s">
        <v>5</v>
      </c>
      <c r="C251" s="23" t="s">
        <v>238</v>
      </c>
      <c r="D251" s="23" t="s">
        <v>7</v>
      </c>
      <c r="E251" s="7" t="s">
        <v>255</v>
      </c>
      <c r="F251" s="27" t="s">
        <v>507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spans="1:25" s="24" customFormat="1" ht="12.75">
      <c r="A252" s="7">
        <v>1676657192</v>
      </c>
      <c r="B252" s="7" t="s">
        <v>5</v>
      </c>
      <c r="C252" s="23" t="s">
        <v>238</v>
      </c>
      <c r="D252" s="23" t="s">
        <v>7</v>
      </c>
      <c r="E252" s="7" t="s">
        <v>256</v>
      </c>
      <c r="F252" s="27" t="s">
        <v>507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spans="1:25" s="24" customFormat="1" ht="12.75">
      <c r="A253" s="7">
        <v>1678670059</v>
      </c>
      <c r="B253" s="7" t="s">
        <v>5</v>
      </c>
      <c r="C253" s="23" t="s">
        <v>238</v>
      </c>
      <c r="D253" s="23" t="s">
        <v>7</v>
      </c>
      <c r="E253" s="7" t="s">
        <v>257</v>
      </c>
      <c r="F253" s="27" t="s">
        <v>507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spans="1:25" s="24" customFormat="1" ht="12.75">
      <c r="A254" s="7">
        <v>1708497699</v>
      </c>
      <c r="B254" s="7" t="s">
        <v>5</v>
      </c>
      <c r="C254" s="23" t="s">
        <v>238</v>
      </c>
      <c r="D254" s="23" t="s">
        <v>7</v>
      </c>
      <c r="E254" s="7" t="s">
        <v>258</v>
      </c>
      <c r="F254" s="27" t="s">
        <v>507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spans="1:25" s="24" customFormat="1" ht="12.75">
      <c r="A255" s="7">
        <v>1786835301</v>
      </c>
      <c r="B255" s="7" t="s">
        <v>5</v>
      </c>
      <c r="C255" s="23" t="s">
        <v>238</v>
      </c>
      <c r="D255" s="23" t="s">
        <v>7</v>
      </c>
      <c r="E255" s="7" t="s">
        <v>259</v>
      </c>
      <c r="F255" s="27" t="s">
        <v>507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spans="1:25" s="24" customFormat="1" ht="12.75">
      <c r="A256" s="7">
        <v>1988790379</v>
      </c>
      <c r="B256" s="7" t="s">
        <v>5</v>
      </c>
      <c r="C256" s="23" t="s">
        <v>238</v>
      </c>
      <c r="D256" s="23" t="s">
        <v>7</v>
      </c>
      <c r="E256" s="7" t="s">
        <v>260</v>
      </c>
      <c r="F256" s="27" t="s">
        <v>507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spans="1:25" s="24" customFormat="1" ht="12.75">
      <c r="A257" s="7">
        <v>2015935202</v>
      </c>
      <c r="B257" s="7" t="s">
        <v>5</v>
      </c>
      <c r="C257" s="23" t="s">
        <v>238</v>
      </c>
      <c r="D257" s="23" t="s">
        <v>7</v>
      </c>
      <c r="E257" s="7" t="s">
        <v>261</v>
      </c>
      <c r="F257" s="27" t="s">
        <v>507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spans="1:25" s="24" customFormat="1" ht="12.75">
      <c r="A258" s="7">
        <v>2051821320</v>
      </c>
      <c r="B258" s="7" t="s">
        <v>5</v>
      </c>
      <c r="C258" s="23" t="s">
        <v>238</v>
      </c>
      <c r="D258" s="23" t="s">
        <v>7</v>
      </c>
      <c r="E258" s="7" t="s">
        <v>262</v>
      </c>
      <c r="F258" s="27" t="s">
        <v>507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spans="1:25" s="24" customFormat="1" ht="12.75">
      <c r="A259" s="7">
        <v>2482396402</v>
      </c>
      <c r="B259" s="7" t="s">
        <v>5</v>
      </c>
      <c r="C259" s="23" t="s">
        <v>238</v>
      </c>
      <c r="D259" s="23" t="s">
        <v>7</v>
      </c>
      <c r="E259" s="7" t="s">
        <v>263</v>
      </c>
      <c r="F259" s="28" t="s">
        <v>505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spans="1:25" s="24" customFormat="1" ht="12.75">
      <c r="A260" s="7">
        <v>2592935944</v>
      </c>
      <c r="B260" s="7" t="s">
        <v>5</v>
      </c>
      <c r="C260" s="23" t="s">
        <v>238</v>
      </c>
      <c r="D260" s="23" t="s">
        <v>7</v>
      </c>
      <c r="E260" s="7" t="s">
        <v>264</v>
      </c>
      <c r="F260" s="27" t="s">
        <v>507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spans="1:25" s="24" customFormat="1" ht="12.75">
      <c r="A261" s="7">
        <v>2611596372</v>
      </c>
      <c r="B261" s="7" t="s">
        <v>5</v>
      </c>
      <c r="C261" s="23" t="s">
        <v>238</v>
      </c>
      <c r="D261" s="23" t="s">
        <v>7</v>
      </c>
      <c r="E261" s="7" t="s">
        <v>265</v>
      </c>
      <c r="F261" s="27" t="s">
        <v>507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spans="1:25" s="24" customFormat="1" ht="12.75">
      <c r="A262" s="7">
        <v>183279834</v>
      </c>
      <c r="B262" s="7" t="s">
        <v>5</v>
      </c>
      <c r="C262" s="23" t="s">
        <v>238</v>
      </c>
      <c r="D262" s="23" t="s">
        <v>7</v>
      </c>
      <c r="E262" s="7" t="s">
        <v>266</v>
      </c>
      <c r="F262" s="27" t="s">
        <v>507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spans="1:25" s="24" customFormat="1" ht="12.75">
      <c r="A263" s="7">
        <v>203572971</v>
      </c>
      <c r="B263" s="7" t="s">
        <v>5</v>
      </c>
      <c r="C263" s="23" t="s">
        <v>238</v>
      </c>
      <c r="D263" s="23" t="s">
        <v>7</v>
      </c>
      <c r="E263" s="7" t="s">
        <v>267</v>
      </c>
      <c r="F263" s="27" t="s">
        <v>507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spans="1:25" s="24" customFormat="1" ht="12.75">
      <c r="A264" s="7">
        <v>227193849</v>
      </c>
      <c r="B264" s="7" t="s">
        <v>5</v>
      </c>
      <c r="C264" s="23" t="s">
        <v>238</v>
      </c>
      <c r="D264" s="23" t="s">
        <v>7</v>
      </c>
      <c r="E264" s="7" t="s">
        <v>268</v>
      </c>
      <c r="F264" s="27" t="s">
        <v>507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spans="1:25" s="24" customFormat="1" ht="12.75">
      <c r="A265" s="7">
        <v>325501300</v>
      </c>
      <c r="B265" s="7" t="s">
        <v>5</v>
      </c>
      <c r="C265" s="23" t="s">
        <v>238</v>
      </c>
      <c r="D265" s="23" t="s">
        <v>7</v>
      </c>
      <c r="E265" s="7" t="s">
        <v>269</v>
      </c>
      <c r="F265" s="27" t="s">
        <v>507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spans="1:25" s="24" customFormat="1" ht="12.75">
      <c r="A266" s="7">
        <v>531618401</v>
      </c>
      <c r="B266" s="7" t="s">
        <v>5</v>
      </c>
      <c r="C266" s="23" t="s">
        <v>238</v>
      </c>
      <c r="D266" s="7" t="s">
        <v>7</v>
      </c>
      <c r="E266" s="7" t="s">
        <v>270</v>
      </c>
      <c r="F266" s="27" t="s">
        <v>507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spans="1:25" s="24" customFormat="1" ht="12.75">
      <c r="A267" s="7">
        <v>621237108</v>
      </c>
      <c r="B267" s="7" t="s">
        <v>5</v>
      </c>
      <c r="C267" s="23" t="s">
        <v>238</v>
      </c>
      <c r="D267" s="23" t="s">
        <v>7</v>
      </c>
      <c r="E267" s="7" t="s">
        <v>271</v>
      </c>
      <c r="F267" s="27" t="s">
        <v>507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spans="1:25" s="24" customFormat="1" ht="12.75">
      <c r="A268" s="7">
        <v>33691178</v>
      </c>
      <c r="B268" s="7" t="s">
        <v>5</v>
      </c>
      <c r="C268" s="23" t="s">
        <v>238</v>
      </c>
      <c r="D268" s="23" t="s">
        <v>7</v>
      </c>
      <c r="E268" s="7" t="s">
        <v>272</v>
      </c>
      <c r="F268" s="27" t="s">
        <v>507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spans="1:25" s="24" customFormat="1" ht="12.75">
      <c r="A269" s="7">
        <v>152152704</v>
      </c>
      <c r="B269" s="7" t="s">
        <v>5</v>
      </c>
      <c r="C269" s="23" t="s">
        <v>238</v>
      </c>
      <c r="D269" s="23" t="s">
        <v>7</v>
      </c>
      <c r="E269" s="7" t="s">
        <v>273</v>
      </c>
      <c r="F269" s="27" t="s">
        <v>507</v>
      </c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spans="1:25" s="24" customFormat="1" ht="12.75">
      <c r="A270" s="7">
        <v>449187698</v>
      </c>
      <c r="B270" s="7" t="s">
        <v>5</v>
      </c>
      <c r="C270" s="23" t="s">
        <v>238</v>
      </c>
      <c r="D270" s="7" t="s">
        <v>7</v>
      </c>
      <c r="E270" s="7" t="s">
        <v>274</v>
      </c>
      <c r="F270" s="27" t="s">
        <v>507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spans="1:25" s="24" customFormat="1" ht="12.75">
      <c r="A271" s="7">
        <v>1495326565</v>
      </c>
      <c r="B271" s="7" t="s">
        <v>5</v>
      </c>
      <c r="C271" s="23" t="s">
        <v>238</v>
      </c>
      <c r="D271" s="23" t="s">
        <v>7</v>
      </c>
      <c r="E271" s="7" t="s">
        <v>275</v>
      </c>
      <c r="F271" s="27" t="s">
        <v>507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spans="1:25" s="24" customFormat="1" ht="12.75">
      <c r="A272" s="7">
        <v>150876148</v>
      </c>
      <c r="B272" s="7" t="s">
        <v>5</v>
      </c>
      <c r="C272" s="23" t="s">
        <v>238</v>
      </c>
      <c r="D272" s="23" t="s">
        <v>7</v>
      </c>
      <c r="E272" s="7" t="s">
        <v>276</v>
      </c>
      <c r="F272" s="27" t="s">
        <v>507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spans="1:25" s="24" customFormat="1" ht="12.75">
      <c r="A273" s="7">
        <v>674606246</v>
      </c>
      <c r="B273" s="7" t="s">
        <v>5</v>
      </c>
      <c r="C273" s="23" t="s">
        <v>238</v>
      </c>
      <c r="D273" s="23" t="s">
        <v>7</v>
      </c>
      <c r="E273" s="7" t="s">
        <v>277</v>
      </c>
      <c r="F273" s="27" t="s">
        <v>507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spans="1:25" s="24" customFormat="1" ht="12.75">
      <c r="A274" s="7">
        <v>201818186</v>
      </c>
      <c r="B274" s="7" t="s">
        <v>5</v>
      </c>
      <c r="C274" s="23" t="s">
        <v>238</v>
      </c>
      <c r="D274" s="23" t="s">
        <v>7</v>
      </c>
      <c r="E274" s="7" t="s">
        <v>278</v>
      </c>
      <c r="F274" s="27" t="s">
        <v>507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spans="1:25" s="24" customFormat="1" ht="12.75">
      <c r="A275" s="7">
        <v>174783683</v>
      </c>
      <c r="B275" s="7" t="s">
        <v>5</v>
      </c>
      <c r="C275" s="23" t="s">
        <v>238</v>
      </c>
      <c r="D275" s="23" t="s">
        <v>7</v>
      </c>
      <c r="E275" s="7" t="s">
        <v>279</v>
      </c>
      <c r="F275" s="27" t="s">
        <v>507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spans="1:25" s="24" customFormat="1" ht="12.75">
      <c r="A276" s="7">
        <v>228286832</v>
      </c>
      <c r="B276" s="7" t="s">
        <v>5</v>
      </c>
      <c r="C276" s="23" t="s">
        <v>238</v>
      </c>
      <c r="D276" s="23" t="s">
        <v>7</v>
      </c>
      <c r="E276" s="7" t="s">
        <v>280</v>
      </c>
      <c r="F276" s="27" t="s">
        <v>507</v>
      </c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spans="1:25" s="24" customFormat="1" ht="12.75">
      <c r="A277" s="7">
        <v>228129723</v>
      </c>
      <c r="B277" s="7" t="s">
        <v>5</v>
      </c>
      <c r="C277" s="23" t="s">
        <v>238</v>
      </c>
      <c r="D277" s="23" t="s">
        <v>7</v>
      </c>
      <c r="E277" s="7" t="s">
        <v>281</v>
      </c>
      <c r="F277" s="27" t="s">
        <v>507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spans="1:25" s="24" customFormat="1" ht="12.75">
      <c r="A278" s="7">
        <v>651524151</v>
      </c>
      <c r="B278" s="7" t="s">
        <v>5</v>
      </c>
      <c r="C278" s="23" t="s">
        <v>238</v>
      </c>
      <c r="D278" s="23" t="s">
        <v>7</v>
      </c>
      <c r="E278" s="7" t="s">
        <v>282</v>
      </c>
      <c r="F278" s="27" t="s">
        <v>507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spans="1:25" s="24" customFormat="1" ht="12.75">
      <c r="A279" s="7">
        <v>1457459939</v>
      </c>
      <c r="B279" s="7" t="s">
        <v>5</v>
      </c>
      <c r="C279" s="23" t="s">
        <v>238</v>
      </c>
      <c r="D279" s="23" t="s">
        <v>7</v>
      </c>
      <c r="E279" s="7" t="s">
        <v>283</v>
      </c>
      <c r="F279" s="27" t="s">
        <v>507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spans="1:25" s="24" customFormat="1" ht="12.75">
      <c r="A280" s="7">
        <v>1085104628</v>
      </c>
      <c r="B280" s="7" t="s">
        <v>5</v>
      </c>
      <c r="C280" s="23" t="s">
        <v>238</v>
      </c>
      <c r="D280" s="23" t="s">
        <v>7</v>
      </c>
      <c r="E280" s="7" t="s">
        <v>284</v>
      </c>
      <c r="F280" s="27" t="s">
        <v>507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spans="1:25" s="24" customFormat="1" ht="12.75">
      <c r="A281" s="7">
        <v>187985366</v>
      </c>
      <c r="B281" s="7" t="s">
        <v>5</v>
      </c>
      <c r="C281" s="23" t="s">
        <v>238</v>
      </c>
      <c r="D281" s="23" t="s">
        <v>7</v>
      </c>
      <c r="E281" s="25" t="s">
        <v>285</v>
      </c>
      <c r="F281" s="26" t="s">
        <v>515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spans="1:25" s="24" customFormat="1" ht="12.75">
      <c r="A282" s="7">
        <v>1812821620</v>
      </c>
      <c r="B282" s="7" t="s">
        <v>5</v>
      </c>
      <c r="C282" s="23" t="s">
        <v>238</v>
      </c>
      <c r="D282" s="23" t="s">
        <v>7</v>
      </c>
      <c r="E282" s="7" t="s">
        <v>286</v>
      </c>
      <c r="F282" s="27" t="s">
        <v>507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spans="1:25" s="24" customFormat="1" ht="12.75">
      <c r="A283" s="7">
        <v>2531061357</v>
      </c>
      <c r="B283" s="7" t="s">
        <v>5</v>
      </c>
      <c r="C283" s="23" t="s">
        <v>238</v>
      </c>
      <c r="D283" s="23" t="s">
        <v>7</v>
      </c>
      <c r="E283" s="7" t="s">
        <v>287</v>
      </c>
      <c r="F283" s="27" t="s">
        <v>507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spans="1:25" s="24" customFormat="1" ht="12.75">
      <c r="A284" s="7">
        <v>234543184</v>
      </c>
      <c r="B284" s="7" t="s">
        <v>5</v>
      </c>
      <c r="C284" s="23" t="s">
        <v>238</v>
      </c>
      <c r="D284" s="23" t="s">
        <v>7</v>
      </c>
      <c r="E284" s="7" t="s">
        <v>288</v>
      </c>
      <c r="F284" s="27" t="s">
        <v>507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spans="1:25" s="24" customFormat="1" ht="12.75">
      <c r="A285" s="7">
        <v>2074482467</v>
      </c>
      <c r="B285" s="7" t="s">
        <v>5</v>
      </c>
      <c r="C285" s="23" t="s">
        <v>238</v>
      </c>
      <c r="D285" s="7" t="s">
        <v>7</v>
      </c>
      <c r="E285" s="7" t="s">
        <v>289</v>
      </c>
      <c r="F285" s="27" t="s">
        <v>507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spans="1:25" s="24" customFormat="1" ht="12.75">
      <c r="A286" s="7">
        <v>1455578640</v>
      </c>
      <c r="B286" s="7" t="s">
        <v>5</v>
      </c>
      <c r="C286" s="23" t="s">
        <v>238</v>
      </c>
      <c r="D286" s="23" t="s">
        <v>7</v>
      </c>
      <c r="E286" s="7" t="s">
        <v>290</v>
      </c>
      <c r="F286" s="27" t="s">
        <v>507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spans="1:25" s="24" customFormat="1" ht="12.75">
      <c r="A287" s="7">
        <v>1396932291</v>
      </c>
      <c r="B287" s="7" t="s">
        <v>5</v>
      </c>
      <c r="C287" s="23" t="s">
        <v>238</v>
      </c>
      <c r="D287" s="23" t="s">
        <v>7</v>
      </c>
      <c r="E287" s="7" t="s">
        <v>291</v>
      </c>
      <c r="F287" s="27" t="s">
        <v>507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spans="1:25" s="24" customFormat="1" ht="12.75">
      <c r="A288" s="7">
        <v>1481531398</v>
      </c>
      <c r="B288" s="7" t="s">
        <v>5</v>
      </c>
      <c r="C288" s="23" t="s">
        <v>238</v>
      </c>
      <c r="D288" s="23" t="s">
        <v>7</v>
      </c>
      <c r="E288" s="7" t="s">
        <v>292</v>
      </c>
      <c r="F288" s="26" t="s">
        <v>508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spans="1:25" s="24" customFormat="1" ht="12.75">
      <c r="A289" s="7">
        <v>1434769455</v>
      </c>
      <c r="B289" s="7" t="s">
        <v>5</v>
      </c>
      <c r="C289" s="23" t="s">
        <v>238</v>
      </c>
      <c r="D289" s="23" t="s">
        <v>7</v>
      </c>
      <c r="E289" s="7" t="s">
        <v>293</v>
      </c>
      <c r="F289" s="27" t="s">
        <v>507</v>
      </c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spans="1:25" s="24" customFormat="1" ht="12.75">
      <c r="A290" s="7">
        <v>1380412961</v>
      </c>
      <c r="B290" s="7" t="s">
        <v>5</v>
      </c>
      <c r="C290" s="23" t="s">
        <v>238</v>
      </c>
      <c r="D290" s="23" t="s">
        <v>7</v>
      </c>
      <c r="E290" s="7" t="s">
        <v>294</v>
      </c>
      <c r="F290" s="27" t="s">
        <v>507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spans="1:25" s="24" customFormat="1" ht="12.75">
      <c r="A291" s="7">
        <v>56815198</v>
      </c>
      <c r="B291" s="7" t="s">
        <v>5</v>
      </c>
      <c r="C291" s="23" t="s">
        <v>238</v>
      </c>
      <c r="D291" s="23" t="s">
        <v>7</v>
      </c>
      <c r="E291" s="7" t="s">
        <v>295</v>
      </c>
      <c r="F291" s="27" t="s">
        <v>507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spans="1:25" s="24" customFormat="1" ht="12.75">
      <c r="A292" s="7">
        <v>242105179</v>
      </c>
      <c r="B292" s="7" t="s">
        <v>5</v>
      </c>
      <c r="C292" s="23" t="s">
        <v>238</v>
      </c>
      <c r="D292" s="23" t="s">
        <v>7</v>
      </c>
      <c r="E292" s="7" t="s">
        <v>296</v>
      </c>
      <c r="F292" s="26" t="s">
        <v>508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spans="1:25" s="24" customFormat="1" ht="12.75">
      <c r="A293" s="7">
        <v>61249096</v>
      </c>
      <c r="B293" s="7" t="s">
        <v>5</v>
      </c>
      <c r="C293" s="23" t="s">
        <v>238</v>
      </c>
      <c r="D293" s="23" t="s">
        <v>7</v>
      </c>
      <c r="E293" s="7" t="s">
        <v>297</v>
      </c>
      <c r="F293" s="27" t="s">
        <v>507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spans="1:25" s="24" customFormat="1" ht="63.75">
      <c r="A294" s="7">
        <v>594475926</v>
      </c>
      <c r="B294" s="7" t="s">
        <v>5</v>
      </c>
      <c r="C294" s="23" t="s">
        <v>238</v>
      </c>
      <c r="D294" s="23" t="s">
        <v>7</v>
      </c>
      <c r="E294" s="25" t="s">
        <v>298</v>
      </c>
      <c r="F294" s="28" t="s">
        <v>507</v>
      </c>
      <c r="G294" s="28" t="s">
        <v>514</v>
      </c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spans="1:25" s="24" customFormat="1" ht="12.75">
      <c r="A295" s="7">
        <v>62381440</v>
      </c>
      <c r="B295" s="7" t="s">
        <v>5</v>
      </c>
      <c r="C295" s="23" t="s">
        <v>238</v>
      </c>
      <c r="D295" s="7" t="s">
        <v>7</v>
      </c>
      <c r="E295" s="7" t="s">
        <v>299</v>
      </c>
      <c r="F295" s="27" t="s">
        <v>507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spans="1:25" s="24" customFormat="1" ht="12.75">
      <c r="A296" s="7">
        <v>264616806</v>
      </c>
      <c r="B296" s="7" t="s">
        <v>5</v>
      </c>
      <c r="C296" s="23" t="s">
        <v>238</v>
      </c>
      <c r="D296" s="23" t="s">
        <v>7</v>
      </c>
      <c r="E296" s="7" t="s">
        <v>300</v>
      </c>
      <c r="F296" s="27" t="s">
        <v>507</v>
      </c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spans="1:25" s="24" customFormat="1" ht="12.75">
      <c r="A297" s="7">
        <v>606319384</v>
      </c>
      <c r="B297" s="7" t="s">
        <v>5</v>
      </c>
      <c r="C297" s="23" t="s">
        <v>238</v>
      </c>
      <c r="D297" s="7" t="s">
        <v>7</v>
      </c>
      <c r="E297" s="7" t="s">
        <v>301</v>
      </c>
      <c r="F297" s="27" t="s">
        <v>507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spans="1:25" s="24" customFormat="1" ht="12.75">
      <c r="A298" s="7">
        <v>204139460</v>
      </c>
      <c r="B298" s="7" t="s">
        <v>5</v>
      </c>
      <c r="C298" s="23" t="s">
        <v>238</v>
      </c>
      <c r="D298" s="23" t="s">
        <v>7</v>
      </c>
      <c r="E298" s="7" t="s">
        <v>302</v>
      </c>
      <c r="F298" s="28" t="s">
        <v>505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spans="1:25" s="24" customFormat="1" ht="12.75">
      <c r="A299" s="7">
        <v>636693914</v>
      </c>
      <c r="B299" s="7" t="s">
        <v>5</v>
      </c>
      <c r="C299" s="23" t="s">
        <v>238</v>
      </c>
      <c r="D299" s="23" t="s">
        <v>7</v>
      </c>
      <c r="E299" s="7" t="s">
        <v>303</v>
      </c>
      <c r="F299" s="27" t="s">
        <v>507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spans="1:25" s="24" customFormat="1" ht="12.75">
      <c r="A300" s="7">
        <v>1096521350</v>
      </c>
      <c r="B300" s="7" t="s">
        <v>5</v>
      </c>
      <c r="C300" s="23" t="s">
        <v>238</v>
      </c>
      <c r="D300" s="23" t="s">
        <v>7</v>
      </c>
      <c r="E300" s="7" t="s">
        <v>304</v>
      </c>
      <c r="F300" s="27" t="s">
        <v>507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spans="1:25" s="24" customFormat="1" ht="12.75">
      <c r="A301" s="7">
        <v>1080122761</v>
      </c>
      <c r="B301" s="7" t="s">
        <v>5</v>
      </c>
      <c r="C301" s="23" t="s">
        <v>238</v>
      </c>
      <c r="D301" s="7" t="s">
        <v>7</v>
      </c>
      <c r="E301" s="7" t="s">
        <v>305</v>
      </c>
      <c r="F301" s="27" t="s">
        <v>507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spans="1:25" s="24" customFormat="1" ht="12.75">
      <c r="A302" s="7">
        <v>225367126</v>
      </c>
      <c r="B302" s="7" t="s">
        <v>5</v>
      </c>
      <c r="C302" s="23" t="s">
        <v>238</v>
      </c>
      <c r="D302" s="7" t="s">
        <v>7</v>
      </c>
      <c r="E302" s="7" t="s">
        <v>306</v>
      </c>
      <c r="F302" s="28" t="s">
        <v>505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spans="1:25" s="24" customFormat="1" ht="12.75">
      <c r="A303" s="7">
        <v>1106563292</v>
      </c>
      <c r="B303" s="7" t="s">
        <v>5</v>
      </c>
      <c r="C303" s="23" t="s">
        <v>238</v>
      </c>
      <c r="D303" s="23" t="s">
        <v>7</v>
      </c>
      <c r="E303" s="7" t="s">
        <v>307</v>
      </c>
      <c r="F303" s="27" t="s">
        <v>507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spans="1:25" s="24" customFormat="1" ht="12.75">
      <c r="A304" s="7">
        <v>727809733</v>
      </c>
      <c r="B304" s="7" t="s">
        <v>5</v>
      </c>
      <c r="C304" s="23" t="s">
        <v>238</v>
      </c>
      <c r="D304" s="23" t="s">
        <v>7</v>
      </c>
      <c r="E304" s="7" t="s">
        <v>308</v>
      </c>
      <c r="F304" s="27" t="s">
        <v>507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spans="1:25" s="24" customFormat="1" ht="12.75">
      <c r="A305" s="7">
        <v>255589674</v>
      </c>
      <c r="B305" s="7" t="s">
        <v>5</v>
      </c>
      <c r="C305" s="23" t="s">
        <v>238</v>
      </c>
      <c r="D305" s="23" t="s">
        <v>7</v>
      </c>
      <c r="E305" s="7" t="s">
        <v>309</v>
      </c>
      <c r="F305" s="27" t="s">
        <v>507</v>
      </c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spans="1:25" s="24" customFormat="1" ht="12.75">
      <c r="A306" s="7">
        <v>1751948527</v>
      </c>
      <c r="B306" s="7" t="s">
        <v>5</v>
      </c>
      <c r="C306" s="23" t="s">
        <v>238</v>
      </c>
      <c r="D306" s="23" t="s">
        <v>7</v>
      </c>
      <c r="E306" s="7" t="s">
        <v>310</v>
      </c>
      <c r="F306" s="28" t="s">
        <v>505</v>
      </c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spans="1:25" s="24" customFormat="1" ht="12.75">
      <c r="A307" s="7">
        <v>1792689257</v>
      </c>
      <c r="B307" s="7" t="s">
        <v>5</v>
      </c>
      <c r="C307" s="23" t="s">
        <v>238</v>
      </c>
      <c r="D307" s="23" t="s">
        <v>7</v>
      </c>
      <c r="E307" s="25" t="s">
        <v>311</v>
      </c>
      <c r="F307" s="26" t="s">
        <v>515</v>
      </c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spans="1:25" s="24" customFormat="1" ht="12.75">
      <c r="A308" s="7">
        <v>1477337705</v>
      </c>
      <c r="B308" s="7" t="s">
        <v>5</v>
      </c>
      <c r="C308" s="23" t="s">
        <v>238</v>
      </c>
      <c r="D308" s="23" t="s">
        <v>7</v>
      </c>
      <c r="E308" s="7" t="s">
        <v>312</v>
      </c>
      <c r="F308" s="27" t="s">
        <v>507</v>
      </c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spans="1:25" s="24" customFormat="1" ht="12.75">
      <c r="A309" s="7">
        <v>1438028665</v>
      </c>
      <c r="B309" s="7" t="s">
        <v>5</v>
      </c>
      <c r="C309" s="23" t="s">
        <v>238</v>
      </c>
      <c r="D309" s="23" t="s">
        <v>7</v>
      </c>
      <c r="E309" s="7" t="s">
        <v>313</v>
      </c>
      <c r="F309" s="27" t="s">
        <v>507</v>
      </c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spans="1:25" s="24" customFormat="1" ht="12.75">
      <c r="A310" s="7">
        <v>455002960</v>
      </c>
      <c r="B310" s="7" t="s">
        <v>5</v>
      </c>
      <c r="C310" s="23" t="s">
        <v>238</v>
      </c>
      <c r="D310" s="23" t="s">
        <v>7</v>
      </c>
      <c r="E310" s="7" t="s">
        <v>314</v>
      </c>
      <c r="F310" s="27" t="s">
        <v>507</v>
      </c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spans="1:25" s="24" customFormat="1" ht="12.75">
      <c r="A311" s="7">
        <v>186556232</v>
      </c>
      <c r="B311" s="7" t="s">
        <v>5</v>
      </c>
      <c r="C311" s="23" t="s">
        <v>238</v>
      </c>
      <c r="D311" s="23" t="s">
        <v>7</v>
      </c>
      <c r="E311" s="7" t="s">
        <v>315</v>
      </c>
      <c r="F311" s="27" t="s">
        <v>507</v>
      </c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spans="1:25" s="24" customFormat="1" ht="12.75">
      <c r="A312" s="7">
        <v>179601451</v>
      </c>
      <c r="B312" s="7" t="s">
        <v>5</v>
      </c>
      <c r="C312" s="23" t="s">
        <v>238</v>
      </c>
      <c r="D312" s="23" t="s">
        <v>7</v>
      </c>
      <c r="E312" s="7" t="s">
        <v>316</v>
      </c>
      <c r="F312" s="27" t="s">
        <v>507</v>
      </c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spans="1:25" s="24" customFormat="1" ht="12.75">
      <c r="A313" s="7">
        <v>810419783</v>
      </c>
      <c r="B313" s="7" t="s">
        <v>5</v>
      </c>
      <c r="C313" s="23" t="s">
        <v>238</v>
      </c>
      <c r="D313" s="23" t="s">
        <v>7</v>
      </c>
      <c r="E313" s="7" t="s">
        <v>317</v>
      </c>
      <c r="F313" s="27" t="s">
        <v>507</v>
      </c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spans="1:25" s="24" customFormat="1" ht="12.75">
      <c r="A314" s="7">
        <v>49721139</v>
      </c>
      <c r="B314" s="7" t="s">
        <v>5</v>
      </c>
      <c r="C314" s="23" t="s">
        <v>238</v>
      </c>
      <c r="D314" s="23" t="s">
        <v>7</v>
      </c>
      <c r="E314" s="7" t="s">
        <v>318</v>
      </c>
      <c r="F314" s="27" t="s">
        <v>507</v>
      </c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spans="1:25" s="24" customFormat="1" ht="12.75">
      <c r="A315" s="7">
        <v>1038382483</v>
      </c>
      <c r="B315" s="7" t="s">
        <v>5</v>
      </c>
      <c r="C315" s="23" t="s">
        <v>238</v>
      </c>
      <c r="D315" s="23" t="s">
        <v>7</v>
      </c>
      <c r="E315" s="7" t="s">
        <v>319</v>
      </c>
      <c r="F315" s="27" t="s">
        <v>507</v>
      </c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spans="1:25" s="24" customFormat="1" ht="12.75">
      <c r="A316" s="7">
        <v>174150285</v>
      </c>
      <c r="B316" s="7" t="s">
        <v>5</v>
      </c>
      <c r="C316" s="23" t="s">
        <v>238</v>
      </c>
      <c r="D316" s="23" t="s">
        <v>7</v>
      </c>
      <c r="E316" s="7" t="s">
        <v>320</v>
      </c>
      <c r="F316" s="27" t="s">
        <v>507</v>
      </c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spans="1:25" s="24" customFormat="1" ht="12.75">
      <c r="A317" s="7">
        <v>360964968</v>
      </c>
      <c r="B317" s="7" t="s">
        <v>5</v>
      </c>
      <c r="C317" s="23" t="s">
        <v>238</v>
      </c>
      <c r="D317" s="7" t="s">
        <v>7</v>
      </c>
      <c r="E317" s="7" t="s">
        <v>321</v>
      </c>
      <c r="F317" s="28" t="s">
        <v>505</v>
      </c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spans="1:25" s="24" customFormat="1" ht="12.75">
      <c r="A318" s="7">
        <v>470068454</v>
      </c>
      <c r="B318" s="7" t="s">
        <v>5</v>
      </c>
      <c r="C318" s="23" t="s">
        <v>238</v>
      </c>
      <c r="D318" s="23" t="s">
        <v>7</v>
      </c>
      <c r="E318" s="7" t="s">
        <v>322</v>
      </c>
      <c r="F318" s="27" t="s">
        <v>507</v>
      </c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spans="1:25" s="24" customFormat="1" ht="12.75">
      <c r="A319" s="7">
        <v>119053125</v>
      </c>
      <c r="B319" s="7" t="s">
        <v>5</v>
      </c>
      <c r="C319" s="23" t="s">
        <v>238</v>
      </c>
      <c r="D319" s="23" t="s">
        <v>7</v>
      </c>
      <c r="E319" s="7" t="s">
        <v>323</v>
      </c>
      <c r="F319" s="27" t="s">
        <v>507</v>
      </c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spans="1:25" s="24" customFormat="1" ht="12.75">
      <c r="A320" s="7">
        <v>1838483881</v>
      </c>
      <c r="B320" s="7" t="s">
        <v>5</v>
      </c>
      <c r="C320" s="23" t="s">
        <v>238</v>
      </c>
      <c r="D320" s="23" t="s">
        <v>7</v>
      </c>
      <c r="E320" s="7" t="s">
        <v>324</v>
      </c>
      <c r="F320" s="27" t="s">
        <v>507</v>
      </c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spans="1:25" s="24" customFormat="1" ht="12.75">
      <c r="A321" s="7">
        <v>361899717</v>
      </c>
      <c r="B321" s="7" t="s">
        <v>5</v>
      </c>
      <c r="C321" s="23" t="s">
        <v>238</v>
      </c>
      <c r="D321" s="23" t="s">
        <v>7</v>
      </c>
      <c r="E321" s="7" t="s">
        <v>325</v>
      </c>
      <c r="F321" s="27" t="s">
        <v>507</v>
      </c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spans="1:25" s="24" customFormat="1" ht="12.75">
      <c r="A322" s="7">
        <v>223453987</v>
      </c>
      <c r="B322" s="7" t="s">
        <v>5</v>
      </c>
      <c r="C322" s="23" t="s">
        <v>238</v>
      </c>
      <c r="D322" s="23" t="s">
        <v>7</v>
      </c>
      <c r="E322" s="7" t="s">
        <v>326</v>
      </c>
      <c r="F322" s="27" t="s">
        <v>507</v>
      </c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spans="1:25" s="24" customFormat="1" ht="12.75">
      <c r="A323" s="7">
        <v>271356022</v>
      </c>
      <c r="B323" s="7" t="s">
        <v>5</v>
      </c>
      <c r="C323" s="23" t="s">
        <v>238</v>
      </c>
      <c r="D323" s="23" t="s">
        <v>7</v>
      </c>
      <c r="E323" s="7" t="s">
        <v>327</v>
      </c>
      <c r="F323" s="27" t="s">
        <v>507</v>
      </c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spans="1:25" s="24" customFormat="1" ht="12.75">
      <c r="A324" s="7">
        <v>202376152</v>
      </c>
      <c r="B324" s="7" t="s">
        <v>5</v>
      </c>
      <c r="C324" s="23" t="s">
        <v>238</v>
      </c>
      <c r="D324" s="23" t="s">
        <v>7</v>
      </c>
      <c r="E324" s="7" t="s">
        <v>328</v>
      </c>
      <c r="F324" s="27" t="s">
        <v>507</v>
      </c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spans="1:25" s="24" customFormat="1" ht="12.75">
      <c r="A325" s="7">
        <v>203435695</v>
      </c>
      <c r="B325" s="7" t="s">
        <v>5</v>
      </c>
      <c r="C325" s="23" t="s">
        <v>238</v>
      </c>
      <c r="D325" s="23" t="s">
        <v>7</v>
      </c>
      <c r="E325" s="7" t="s">
        <v>329</v>
      </c>
      <c r="F325" s="27" t="s">
        <v>507</v>
      </c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spans="1:25" s="24" customFormat="1" ht="12.75">
      <c r="A326" s="7">
        <v>313555253</v>
      </c>
      <c r="B326" s="7" t="s">
        <v>5</v>
      </c>
      <c r="C326" s="23" t="s">
        <v>238</v>
      </c>
      <c r="D326" s="23" t="s">
        <v>7</v>
      </c>
      <c r="E326" s="7" t="s">
        <v>330</v>
      </c>
      <c r="F326" s="27" t="s">
        <v>507</v>
      </c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spans="1:25" s="24" customFormat="1" ht="12.75">
      <c r="A327" s="7">
        <v>791280925</v>
      </c>
      <c r="B327" s="7" t="s">
        <v>5</v>
      </c>
      <c r="C327" s="23" t="s">
        <v>238</v>
      </c>
      <c r="D327" s="23" t="s">
        <v>7</v>
      </c>
      <c r="E327" s="7" t="s">
        <v>331</v>
      </c>
      <c r="F327" s="27" t="s">
        <v>507</v>
      </c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spans="1:25" s="24" customFormat="1" ht="12.75">
      <c r="A328" s="7">
        <v>423827714</v>
      </c>
      <c r="B328" s="7" t="s">
        <v>5</v>
      </c>
      <c r="C328" s="23" t="s">
        <v>238</v>
      </c>
      <c r="D328" s="7" t="s">
        <v>7</v>
      </c>
      <c r="E328" s="7" t="s">
        <v>332</v>
      </c>
      <c r="F328" s="27" t="s">
        <v>507</v>
      </c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spans="1:25" s="24" customFormat="1" ht="12.75">
      <c r="A329" s="7">
        <v>197237293</v>
      </c>
      <c r="B329" s="7" t="s">
        <v>5</v>
      </c>
      <c r="C329" s="23" t="s">
        <v>238</v>
      </c>
      <c r="D329" s="23" t="s">
        <v>7</v>
      </c>
      <c r="E329" s="7" t="s">
        <v>333</v>
      </c>
      <c r="F329" s="27" t="s">
        <v>507</v>
      </c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spans="1:25" s="24" customFormat="1" ht="12.75">
      <c r="A330" s="7">
        <v>178198408</v>
      </c>
      <c r="B330" s="7" t="s">
        <v>5</v>
      </c>
      <c r="C330" s="23" t="s">
        <v>238</v>
      </c>
      <c r="D330" s="23" t="s">
        <v>7</v>
      </c>
      <c r="E330" s="6" t="s">
        <v>334</v>
      </c>
      <c r="F330" s="26" t="s">
        <v>510</v>
      </c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spans="1:25" s="24" customFormat="1" ht="12.75">
      <c r="A331" s="7">
        <v>660319086</v>
      </c>
      <c r="B331" s="7" t="s">
        <v>5</v>
      </c>
      <c r="C331" s="23" t="s">
        <v>238</v>
      </c>
      <c r="D331" s="23" t="s">
        <v>7</v>
      </c>
      <c r="E331" s="7" t="s">
        <v>335</v>
      </c>
      <c r="F331" s="27" t="s">
        <v>507</v>
      </c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spans="1:25" s="24" customFormat="1" ht="12.75">
      <c r="A332" s="7">
        <v>237886154</v>
      </c>
      <c r="B332" s="7" t="s">
        <v>5</v>
      </c>
      <c r="C332" s="23" t="s">
        <v>238</v>
      </c>
      <c r="D332" s="23" t="s">
        <v>7</v>
      </c>
      <c r="E332" s="7" t="s">
        <v>336</v>
      </c>
      <c r="F332" s="27" t="s">
        <v>507</v>
      </c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spans="1:25" s="24" customFormat="1" ht="12.75">
      <c r="A333" s="7">
        <v>120188822</v>
      </c>
      <c r="B333" s="7" t="s">
        <v>5</v>
      </c>
      <c r="C333" s="23" t="s">
        <v>238</v>
      </c>
      <c r="D333" s="7" t="s">
        <v>7</v>
      </c>
      <c r="E333" s="7" t="s">
        <v>337</v>
      </c>
      <c r="F333" s="27" t="s">
        <v>507</v>
      </c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spans="1:25" s="24" customFormat="1" ht="12.75">
      <c r="A334" s="7">
        <v>159272833</v>
      </c>
      <c r="B334" s="7" t="s">
        <v>5</v>
      </c>
      <c r="C334" s="23" t="s">
        <v>238</v>
      </c>
      <c r="D334" s="23" t="s">
        <v>7</v>
      </c>
      <c r="E334" s="7" t="s">
        <v>338</v>
      </c>
      <c r="F334" s="27" t="s">
        <v>507</v>
      </c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spans="1:25" s="24" customFormat="1" ht="12.75">
      <c r="A335" s="7">
        <v>255011578</v>
      </c>
      <c r="B335" s="7" t="s">
        <v>5</v>
      </c>
      <c r="C335" s="23" t="s">
        <v>238</v>
      </c>
      <c r="D335" s="23" t="s">
        <v>7</v>
      </c>
      <c r="E335" s="7" t="s">
        <v>339</v>
      </c>
      <c r="F335" s="27" t="s">
        <v>507</v>
      </c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spans="1:25" s="24" customFormat="1" ht="12.75">
      <c r="A336" s="7">
        <v>295506853</v>
      </c>
      <c r="B336" s="7" t="s">
        <v>5</v>
      </c>
      <c r="C336" s="23" t="s">
        <v>238</v>
      </c>
      <c r="D336" s="23" t="s">
        <v>7</v>
      </c>
      <c r="E336" s="7" t="s">
        <v>340</v>
      </c>
      <c r="F336" s="27" t="s">
        <v>507</v>
      </c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spans="1:25" s="24" customFormat="1" ht="12.75">
      <c r="A337" s="7">
        <v>1512186857</v>
      </c>
      <c r="B337" s="7" t="s">
        <v>5</v>
      </c>
      <c r="C337" s="23" t="s">
        <v>238</v>
      </c>
      <c r="D337" s="23" t="s">
        <v>7</v>
      </c>
      <c r="E337" s="7" t="s">
        <v>341</v>
      </c>
      <c r="F337" s="27" t="s">
        <v>507</v>
      </c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spans="1:25" s="24" customFormat="1" ht="12.75">
      <c r="A338" s="7">
        <v>1590205193</v>
      </c>
      <c r="B338" s="7" t="s">
        <v>5</v>
      </c>
      <c r="C338" s="23" t="s">
        <v>238</v>
      </c>
      <c r="D338" s="23" t="s">
        <v>7</v>
      </c>
      <c r="E338" s="7" t="s">
        <v>342</v>
      </c>
      <c r="F338" s="27" t="s">
        <v>507</v>
      </c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spans="1:25" s="24" customFormat="1" ht="12.75">
      <c r="A339" s="7">
        <v>224832674</v>
      </c>
      <c r="B339" s="7" t="s">
        <v>5</v>
      </c>
      <c r="C339" s="23" t="s">
        <v>238</v>
      </c>
      <c r="D339" s="23" t="s">
        <v>7</v>
      </c>
      <c r="E339" s="7" t="s">
        <v>343</v>
      </c>
      <c r="F339" s="27" t="s">
        <v>507</v>
      </c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spans="1:25" s="24" customFormat="1" ht="12.75">
      <c r="A340" s="7">
        <v>382848365</v>
      </c>
      <c r="B340" s="7" t="s">
        <v>5</v>
      </c>
      <c r="C340" s="23" t="s">
        <v>238</v>
      </c>
      <c r="D340" s="23" t="s">
        <v>7</v>
      </c>
      <c r="E340" s="7" t="s">
        <v>344</v>
      </c>
      <c r="F340" s="27" t="s">
        <v>507</v>
      </c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spans="1:25" s="24" customFormat="1" ht="12.75">
      <c r="A341" s="7">
        <v>455839818</v>
      </c>
      <c r="B341" s="7" t="s">
        <v>5</v>
      </c>
      <c r="C341" s="23" t="s">
        <v>238</v>
      </c>
      <c r="D341" s="23" t="s">
        <v>7</v>
      </c>
      <c r="E341" s="7" t="s">
        <v>345</v>
      </c>
      <c r="F341" s="27" t="s">
        <v>507</v>
      </c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spans="1:25" s="24" customFormat="1" ht="12.75">
      <c r="A342" s="7">
        <v>173037793</v>
      </c>
      <c r="B342" s="7" t="s">
        <v>5</v>
      </c>
      <c r="C342" s="23" t="s">
        <v>238</v>
      </c>
      <c r="D342" s="23" t="s">
        <v>7</v>
      </c>
      <c r="E342" s="7" t="s">
        <v>346</v>
      </c>
      <c r="F342" s="27" t="s">
        <v>507</v>
      </c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spans="1:25" s="24" customFormat="1" ht="12.75">
      <c r="A343" s="7">
        <v>183967399</v>
      </c>
      <c r="B343" s="7" t="s">
        <v>5</v>
      </c>
      <c r="C343" s="23" t="s">
        <v>238</v>
      </c>
      <c r="D343" s="7" t="s">
        <v>7</v>
      </c>
      <c r="E343" s="7" t="s">
        <v>347</v>
      </c>
      <c r="F343" s="27" t="s">
        <v>507</v>
      </c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spans="1:25" s="24" customFormat="1" ht="12.75">
      <c r="A344" s="7">
        <v>601159975</v>
      </c>
      <c r="B344" s="7" t="s">
        <v>5</v>
      </c>
      <c r="C344" s="23" t="s">
        <v>238</v>
      </c>
      <c r="D344" s="23" t="s">
        <v>7</v>
      </c>
      <c r="E344" s="7" t="s">
        <v>348</v>
      </c>
      <c r="F344" s="27" t="s">
        <v>507</v>
      </c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spans="1:25" s="24" customFormat="1" ht="12.75">
      <c r="A345" s="7">
        <v>764038065</v>
      </c>
      <c r="B345" s="7" t="s">
        <v>5</v>
      </c>
      <c r="C345" s="23" t="s">
        <v>238</v>
      </c>
      <c r="D345" s="7" t="s">
        <v>7</v>
      </c>
      <c r="E345" s="7" t="s">
        <v>349</v>
      </c>
      <c r="F345" s="27" t="s">
        <v>507</v>
      </c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spans="1:25" s="24" customFormat="1" ht="12.75">
      <c r="A346" s="7">
        <v>732472905</v>
      </c>
      <c r="B346" s="7" t="s">
        <v>5</v>
      </c>
      <c r="C346" s="23" t="s">
        <v>238</v>
      </c>
      <c r="D346" s="23" t="s">
        <v>7</v>
      </c>
      <c r="E346" s="7" t="s">
        <v>350</v>
      </c>
      <c r="F346" s="27" t="s">
        <v>507</v>
      </c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spans="1:25" s="24" customFormat="1" ht="12.75">
      <c r="A347" s="7">
        <v>115429420</v>
      </c>
      <c r="B347" s="7" t="s">
        <v>5</v>
      </c>
      <c r="C347" s="23" t="s">
        <v>238</v>
      </c>
      <c r="D347" s="23" t="s">
        <v>7</v>
      </c>
      <c r="E347" s="7" t="s">
        <v>351</v>
      </c>
      <c r="F347" s="27" t="s">
        <v>507</v>
      </c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spans="1:25" s="24" customFormat="1" ht="12.75">
      <c r="A348" s="7">
        <v>158469611</v>
      </c>
      <c r="B348" s="7" t="s">
        <v>5</v>
      </c>
      <c r="C348" s="23" t="s">
        <v>238</v>
      </c>
      <c r="D348" s="7" t="s">
        <v>7</v>
      </c>
      <c r="E348" s="7" t="s">
        <v>352</v>
      </c>
      <c r="F348" s="28" t="s">
        <v>505</v>
      </c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spans="1:25" s="24" customFormat="1" ht="24">
      <c r="A349" s="7">
        <v>1585403964</v>
      </c>
      <c r="B349" s="7" t="s">
        <v>5</v>
      </c>
      <c r="C349" s="23" t="s">
        <v>238</v>
      </c>
      <c r="D349" s="23" t="s">
        <v>7</v>
      </c>
      <c r="E349" s="7" t="s">
        <v>353</v>
      </c>
      <c r="F349" s="27" t="s">
        <v>507</v>
      </c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spans="1:25" s="24" customFormat="1" ht="12.75">
      <c r="A350" s="7">
        <v>1842769625</v>
      </c>
      <c r="B350" s="7" t="s">
        <v>5</v>
      </c>
      <c r="C350" s="23" t="s">
        <v>238</v>
      </c>
      <c r="D350" s="23" t="s">
        <v>7</v>
      </c>
      <c r="E350" s="7" t="s">
        <v>354</v>
      </c>
      <c r="F350" s="27" t="s">
        <v>507</v>
      </c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spans="1:25" s="24" customFormat="1" ht="12.75">
      <c r="A351" s="7">
        <v>279034933</v>
      </c>
      <c r="B351" s="7" t="s">
        <v>5</v>
      </c>
      <c r="C351" s="23" t="s">
        <v>238</v>
      </c>
      <c r="D351" s="23" t="s">
        <v>7</v>
      </c>
      <c r="E351" s="7" t="s">
        <v>260</v>
      </c>
      <c r="F351" s="27" t="s">
        <v>507</v>
      </c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spans="1:25" s="24" customFormat="1" ht="12.75">
      <c r="A352" s="7">
        <v>1184554804</v>
      </c>
      <c r="B352" s="7" t="s">
        <v>5</v>
      </c>
      <c r="C352" s="23" t="s">
        <v>238</v>
      </c>
      <c r="D352" s="23" t="s">
        <v>7</v>
      </c>
      <c r="E352" s="7" t="s">
        <v>355</v>
      </c>
      <c r="F352" s="27" t="s">
        <v>507</v>
      </c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spans="1:25" s="24" customFormat="1" ht="12.75">
      <c r="A353" s="7">
        <v>420307218</v>
      </c>
      <c r="B353" s="7" t="s">
        <v>5</v>
      </c>
      <c r="C353" s="23" t="s">
        <v>238</v>
      </c>
      <c r="D353" s="23" t="s">
        <v>7</v>
      </c>
      <c r="E353" s="7" t="s">
        <v>356</v>
      </c>
      <c r="F353" s="27" t="s">
        <v>507</v>
      </c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spans="1:25" s="24" customFormat="1" ht="12.75">
      <c r="A354" s="7">
        <v>431214959</v>
      </c>
      <c r="B354" s="7" t="s">
        <v>5</v>
      </c>
      <c r="C354" s="23" t="s">
        <v>238</v>
      </c>
      <c r="D354" s="23" t="s">
        <v>7</v>
      </c>
      <c r="E354" s="7" t="s">
        <v>357</v>
      </c>
      <c r="F354" s="27" t="s">
        <v>507</v>
      </c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spans="1:25" s="24" customFormat="1" ht="12.75">
      <c r="A355" s="7">
        <v>1615862430</v>
      </c>
      <c r="B355" s="7" t="s">
        <v>5</v>
      </c>
      <c r="C355" s="23" t="s">
        <v>238</v>
      </c>
      <c r="D355" s="23" t="s">
        <v>7</v>
      </c>
      <c r="E355" s="25" t="s">
        <v>358</v>
      </c>
      <c r="F355" s="26" t="s">
        <v>508</v>
      </c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spans="1:25" s="24" customFormat="1" ht="12.75">
      <c r="A356" s="7">
        <v>91941491</v>
      </c>
      <c r="B356" s="7" t="s">
        <v>5</v>
      </c>
      <c r="C356" s="23" t="s">
        <v>238</v>
      </c>
      <c r="D356" s="23" t="s">
        <v>7</v>
      </c>
      <c r="E356" s="7" t="s">
        <v>359</v>
      </c>
      <c r="F356" s="27" t="s">
        <v>507</v>
      </c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spans="1:25" s="24" customFormat="1" ht="12.75">
      <c r="A357" s="7">
        <v>6876244</v>
      </c>
      <c r="B357" s="7" t="s">
        <v>5</v>
      </c>
      <c r="C357" s="23" t="s">
        <v>238</v>
      </c>
      <c r="D357" s="23" t="s">
        <v>7</v>
      </c>
      <c r="E357" s="7" t="s">
        <v>360</v>
      </c>
      <c r="F357" s="27" t="s">
        <v>507</v>
      </c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spans="1:25" s="24" customFormat="1" ht="12.75">
      <c r="A358" s="7">
        <v>1712443665</v>
      </c>
      <c r="B358" s="7" t="s">
        <v>5</v>
      </c>
      <c r="C358" s="23" t="s">
        <v>238</v>
      </c>
      <c r="D358" s="23" t="s">
        <v>7</v>
      </c>
      <c r="E358" s="7" t="s">
        <v>361</v>
      </c>
      <c r="F358" s="27" t="s">
        <v>507</v>
      </c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spans="1:25" s="24" customFormat="1" ht="12.75">
      <c r="A359" s="7">
        <v>1777894146</v>
      </c>
      <c r="B359" s="7" t="s">
        <v>5</v>
      </c>
      <c r="C359" s="23" t="s">
        <v>238</v>
      </c>
      <c r="D359" s="23" t="s">
        <v>7</v>
      </c>
      <c r="E359" s="7" t="s">
        <v>362</v>
      </c>
      <c r="F359" s="27" t="s">
        <v>507</v>
      </c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spans="1:25" s="24" customFormat="1" ht="12.75">
      <c r="A360" s="7">
        <v>127073909</v>
      </c>
      <c r="B360" s="7" t="s">
        <v>5</v>
      </c>
      <c r="C360" s="23" t="s">
        <v>238</v>
      </c>
      <c r="D360" s="23" t="s">
        <v>7</v>
      </c>
      <c r="E360" s="7" t="s">
        <v>363</v>
      </c>
      <c r="F360" s="27" t="s">
        <v>507</v>
      </c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spans="1:25" s="24" customFormat="1" ht="12.75">
      <c r="A361" s="7">
        <v>1884853456</v>
      </c>
      <c r="B361" s="7" t="s">
        <v>5</v>
      </c>
      <c r="C361" s="23" t="s">
        <v>238</v>
      </c>
      <c r="D361" s="23" t="s">
        <v>7</v>
      </c>
      <c r="E361" s="7" t="s">
        <v>364</v>
      </c>
      <c r="F361" s="27" t="s">
        <v>507</v>
      </c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spans="1:25" s="24" customFormat="1" ht="12.75">
      <c r="A362" s="7">
        <v>1469409088</v>
      </c>
      <c r="B362" s="7" t="s">
        <v>5</v>
      </c>
      <c r="C362" s="23" t="s">
        <v>238</v>
      </c>
      <c r="D362" s="23" t="s">
        <v>7</v>
      </c>
      <c r="E362" s="7" t="s">
        <v>365</v>
      </c>
      <c r="F362" s="27" t="s">
        <v>507</v>
      </c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spans="1:25" s="24" customFormat="1" ht="12.75">
      <c r="A363" s="7">
        <v>2336669810</v>
      </c>
      <c r="B363" s="7" t="s">
        <v>5</v>
      </c>
      <c r="C363" s="23" t="s">
        <v>238</v>
      </c>
      <c r="D363" s="23" t="s">
        <v>7</v>
      </c>
      <c r="E363" s="7" t="s">
        <v>366</v>
      </c>
      <c r="F363" s="27" t="s">
        <v>507</v>
      </c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spans="1:25" s="24" customFormat="1" ht="12.75">
      <c r="A364" s="7">
        <v>1364804277</v>
      </c>
      <c r="B364" s="7" t="s">
        <v>5</v>
      </c>
      <c r="C364" s="23" t="s">
        <v>238</v>
      </c>
      <c r="D364" s="23" t="s">
        <v>7</v>
      </c>
      <c r="E364" s="7" t="s">
        <v>366</v>
      </c>
      <c r="F364" s="27" t="s">
        <v>507</v>
      </c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spans="1:25" s="24" customFormat="1" ht="12.75">
      <c r="A365" s="7">
        <v>788763894</v>
      </c>
      <c r="B365" s="7" t="s">
        <v>5</v>
      </c>
      <c r="C365" s="23" t="s">
        <v>238</v>
      </c>
      <c r="D365" s="23" t="s">
        <v>7</v>
      </c>
      <c r="E365" s="7" t="s">
        <v>367</v>
      </c>
      <c r="F365" s="27" t="s">
        <v>507</v>
      </c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spans="1:25" s="24" customFormat="1" ht="12.75">
      <c r="A366" s="7">
        <v>210962492</v>
      </c>
      <c r="B366" s="7" t="s">
        <v>5</v>
      </c>
      <c r="C366" s="23" t="s">
        <v>238</v>
      </c>
      <c r="D366" s="23" t="s">
        <v>7</v>
      </c>
      <c r="E366" s="7" t="s">
        <v>366</v>
      </c>
      <c r="F366" s="27" t="s">
        <v>507</v>
      </c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spans="1:25" s="24" customFormat="1" ht="12.75">
      <c r="A367" s="7">
        <v>2662787671</v>
      </c>
      <c r="B367" s="7" t="s">
        <v>5</v>
      </c>
      <c r="C367" s="23" t="s">
        <v>238</v>
      </c>
      <c r="D367" s="23" t="s">
        <v>7</v>
      </c>
      <c r="E367" s="7" t="s">
        <v>367</v>
      </c>
      <c r="F367" s="27" t="s">
        <v>507</v>
      </c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spans="1:25" s="24" customFormat="1" ht="12.75">
      <c r="A368" s="7">
        <v>751415749</v>
      </c>
      <c r="B368" s="7" t="s">
        <v>5</v>
      </c>
      <c r="C368" s="23" t="s">
        <v>238</v>
      </c>
      <c r="D368" s="23" t="s">
        <v>7</v>
      </c>
      <c r="E368" s="7" t="s">
        <v>368</v>
      </c>
      <c r="F368" s="27" t="s">
        <v>507</v>
      </c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spans="1:25" s="24" customFormat="1" ht="51">
      <c r="A369" s="7">
        <v>238910194</v>
      </c>
      <c r="B369" s="7" t="s">
        <v>5</v>
      </c>
      <c r="C369" s="23" t="s">
        <v>238</v>
      </c>
      <c r="D369" s="23" t="s">
        <v>7</v>
      </c>
      <c r="E369" s="25" t="s">
        <v>369</v>
      </c>
      <c r="F369" s="29" t="s">
        <v>507</v>
      </c>
      <c r="G369" s="28" t="s">
        <v>509</v>
      </c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spans="1:25" s="24" customFormat="1" ht="12.75">
      <c r="A370" s="7">
        <v>209463598</v>
      </c>
      <c r="B370" s="7" t="s">
        <v>5</v>
      </c>
      <c r="C370" s="23" t="s">
        <v>238</v>
      </c>
      <c r="D370" s="23" t="s">
        <v>7</v>
      </c>
      <c r="E370" s="7" t="s">
        <v>370</v>
      </c>
      <c r="F370" s="27" t="s">
        <v>507</v>
      </c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spans="1:25" s="24" customFormat="1" ht="24">
      <c r="A371" s="7">
        <v>488851324</v>
      </c>
      <c r="B371" s="7" t="s">
        <v>371</v>
      </c>
      <c r="C371" s="23" t="s">
        <v>372</v>
      </c>
      <c r="D371" s="23" t="s">
        <v>7</v>
      </c>
      <c r="E371" s="7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spans="1:25" s="24" customFormat="1" ht="24">
      <c r="A372" s="7">
        <v>2490611911</v>
      </c>
      <c r="B372" s="7" t="s">
        <v>371</v>
      </c>
      <c r="C372" s="23" t="s">
        <v>372</v>
      </c>
      <c r="D372" s="23" t="s">
        <v>7</v>
      </c>
      <c r="E372" s="7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spans="1:25" s="24" customFormat="1" ht="24">
      <c r="A373" s="7">
        <v>1477497679</v>
      </c>
      <c r="B373" s="7" t="s">
        <v>371</v>
      </c>
      <c r="C373" s="23" t="s">
        <v>372</v>
      </c>
      <c r="D373" s="23" t="s">
        <v>7</v>
      </c>
      <c r="E373" s="7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spans="1:25" s="24" customFormat="1" ht="24">
      <c r="A374" s="7">
        <v>555414187</v>
      </c>
      <c r="B374" s="7" t="s">
        <v>371</v>
      </c>
      <c r="C374" s="23" t="s">
        <v>372</v>
      </c>
      <c r="D374" s="23" t="s">
        <v>7</v>
      </c>
      <c r="E374" s="7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spans="1:25" s="24" customFormat="1" ht="24">
      <c r="A375" s="7">
        <v>1236298302</v>
      </c>
      <c r="B375" s="7" t="s">
        <v>371</v>
      </c>
      <c r="C375" s="23" t="s">
        <v>372</v>
      </c>
      <c r="D375" s="23" t="s">
        <v>7</v>
      </c>
      <c r="E375" s="7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spans="1:25" s="24" customFormat="1" ht="24">
      <c r="A376" s="7">
        <v>1245410086</v>
      </c>
      <c r="B376" s="7" t="s">
        <v>371</v>
      </c>
      <c r="C376" s="23" t="s">
        <v>372</v>
      </c>
      <c r="D376" s="23" t="s">
        <v>7</v>
      </c>
      <c r="E376" s="7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spans="1:25" s="24" customFormat="1" ht="24">
      <c r="A377" s="7">
        <v>1231808348</v>
      </c>
      <c r="B377" s="7" t="s">
        <v>371</v>
      </c>
      <c r="C377" s="23" t="s">
        <v>372</v>
      </c>
      <c r="D377" s="23" t="s">
        <v>7</v>
      </c>
      <c r="E377" s="7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spans="1:25" s="24" customFormat="1" ht="24">
      <c r="A378" s="7">
        <v>1406524799</v>
      </c>
      <c r="B378" s="7" t="s">
        <v>371</v>
      </c>
      <c r="C378" s="23" t="s">
        <v>372</v>
      </c>
      <c r="D378" s="23" t="s">
        <v>7</v>
      </c>
      <c r="E378" s="7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spans="1:25" s="24" customFormat="1" ht="24">
      <c r="A379" s="7">
        <v>1464475202</v>
      </c>
      <c r="B379" s="7" t="s">
        <v>371</v>
      </c>
      <c r="C379" s="23" t="s">
        <v>372</v>
      </c>
      <c r="D379" s="23" t="s">
        <v>7</v>
      </c>
      <c r="E379" s="7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spans="1:25" s="24" customFormat="1" ht="24">
      <c r="A380" s="7">
        <v>1342859483</v>
      </c>
      <c r="B380" s="7" t="s">
        <v>371</v>
      </c>
      <c r="C380" s="23" t="s">
        <v>372</v>
      </c>
      <c r="D380" s="23" t="s">
        <v>7</v>
      </c>
      <c r="E380" s="7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spans="1:25" s="24" customFormat="1" ht="24">
      <c r="A381" s="7">
        <v>1317961778</v>
      </c>
      <c r="B381" s="7" t="s">
        <v>371</v>
      </c>
      <c r="C381" s="23" t="s">
        <v>372</v>
      </c>
      <c r="D381" s="23" t="s">
        <v>7</v>
      </c>
      <c r="E381" s="7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spans="1:25" s="24" customFormat="1" ht="24">
      <c r="A382" s="7">
        <v>1286635153</v>
      </c>
      <c r="B382" s="7" t="s">
        <v>371</v>
      </c>
      <c r="C382" s="23" t="s">
        <v>372</v>
      </c>
      <c r="D382" s="23" t="s">
        <v>7</v>
      </c>
      <c r="E382" s="7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spans="1:25" s="24" customFormat="1" ht="24">
      <c r="A383" s="7">
        <v>1445776663</v>
      </c>
      <c r="B383" s="7" t="s">
        <v>371</v>
      </c>
      <c r="C383" s="23" t="s">
        <v>372</v>
      </c>
      <c r="D383" s="23" t="s">
        <v>7</v>
      </c>
      <c r="E383" s="7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spans="1:25" s="24" customFormat="1" ht="24">
      <c r="A384" s="7">
        <v>1211756872</v>
      </c>
      <c r="B384" s="7" t="s">
        <v>371</v>
      </c>
      <c r="C384" s="23" t="s">
        <v>372</v>
      </c>
      <c r="D384" s="23" t="s">
        <v>7</v>
      </c>
      <c r="E384" s="7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spans="1:25" s="24" customFormat="1" ht="24">
      <c r="A385" s="7">
        <v>1207675246</v>
      </c>
      <c r="B385" s="7" t="s">
        <v>371</v>
      </c>
      <c r="C385" s="23" t="s">
        <v>372</v>
      </c>
      <c r="D385" s="23" t="s">
        <v>7</v>
      </c>
      <c r="E385" s="7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spans="1:25" s="24" customFormat="1" ht="24">
      <c r="A386" s="7">
        <v>1422846329</v>
      </c>
      <c r="B386" s="7" t="s">
        <v>371</v>
      </c>
      <c r="C386" s="23" t="s">
        <v>372</v>
      </c>
      <c r="D386" s="23" t="s">
        <v>7</v>
      </c>
      <c r="E386" s="7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spans="1:25" s="24" customFormat="1" ht="24">
      <c r="A387" s="7">
        <v>76331531</v>
      </c>
      <c r="B387" s="7" t="s">
        <v>371</v>
      </c>
      <c r="C387" s="23" t="s">
        <v>372</v>
      </c>
      <c r="D387" s="23" t="s">
        <v>7</v>
      </c>
      <c r="E387" s="7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spans="1:25" s="24" customFormat="1" ht="24">
      <c r="A388" s="7">
        <v>322502351</v>
      </c>
      <c r="B388" s="7" t="s">
        <v>371</v>
      </c>
      <c r="C388" s="23" t="s">
        <v>372</v>
      </c>
      <c r="D388" s="23" t="s">
        <v>7</v>
      </c>
      <c r="E388" s="7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spans="1:25" s="24" customFormat="1" ht="24">
      <c r="A389" s="7">
        <v>1375138586</v>
      </c>
      <c r="B389" s="7" t="s">
        <v>371</v>
      </c>
      <c r="C389" s="23" t="s">
        <v>372</v>
      </c>
      <c r="D389" s="23" t="s">
        <v>7</v>
      </c>
      <c r="E389" s="7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spans="1:25" s="24" customFormat="1" ht="24">
      <c r="A390" s="7">
        <v>1366151811</v>
      </c>
      <c r="B390" s="7" t="s">
        <v>371</v>
      </c>
      <c r="C390" s="23" t="s">
        <v>372</v>
      </c>
      <c r="D390" s="23" t="s">
        <v>7</v>
      </c>
      <c r="E390" s="7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spans="1:25" s="24" customFormat="1" ht="24">
      <c r="A391" s="7">
        <v>1249172900</v>
      </c>
      <c r="B391" s="7" t="s">
        <v>371</v>
      </c>
      <c r="C391" s="23" t="s">
        <v>372</v>
      </c>
      <c r="D391" s="23" t="s">
        <v>7</v>
      </c>
      <c r="E391" s="7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spans="1:25" s="24" customFormat="1" ht="24">
      <c r="A392" s="7">
        <v>1478114661</v>
      </c>
      <c r="B392" s="7" t="s">
        <v>371</v>
      </c>
      <c r="C392" s="23" t="s">
        <v>372</v>
      </c>
      <c r="D392" s="23" t="s">
        <v>7</v>
      </c>
      <c r="E392" s="7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spans="1:25" s="24" customFormat="1" ht="24">
      <c r="A393" s="7">
        <v>1231576803</v>
      </c>
      <c r="B393" s="7" t="s">
        <v>371</v>
      </c>
      <c r="C393" s="23" t="s">
        <v>372</v>
      </c>
      <c r="D393" s="23" t="s">
        <v>7</v>
      </c>
      <c r="E393" s="7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spans="1:25" s="24" customFormat="1" ht="24">
      <c r="A394" s="7">
        <v>1251879558</v>
      </c>
      <c r="B394" s="7" t="s">
        <v>371</v>
      </c>
      <c r="C394" s="23" t="s">
        <v>372</v>
      </c>
      <c r="D394" s="23" t="s">
        <v>7</v>
      </c>
      <c r="E394" s="7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spans="1:25" s="24" customFormat="1" ht="24">
      <c r="A395" s="7">
        <v>2345017244</v>
      </c>
      <c r="B395" s="7" t="s">
        <v>371</v>
      </c>
      <c r="C395" s="23" t="s">
        <v>372</v>
      </c>
      <c r="D395" s="23" t="s">
        <v>7</v>
      </c>
      <c r="E395" s="7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spans="1:25" s="24" customFormat="1" ht="24">
      <c r="A396" s="7">
        <v>1453452471</v>
      </c>
      <c r="B396" s="7" t="s">
        <v>371</v>
      </c>
      <c r="C396" s="23" t="s">
        <v>372</v>
      </c>
      <c r="D396" s="23" t="s">
        <v>7</v>
      </c>
      <c r="E396" s="7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spans="1:25" s="24" customFormat="1" ht="24">
      <c r="A397" s="7">
        <v>1161200505</v>
      </c>
      <c r="B397" s="7" t="s">
        <v>371</v>
      </c>
      <c r="C397" s="23" t="s">
        <v>372</v>
      </c>
      <c r="D397" s="23" t="s">
        <v>7</v>
      </c>
      <c r="E397" s="7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spans="1:25" s="24" customFormat="1" ht="24">
      <c r="A398" s="7">
        <v>268850426</v>
      </c>
      <c r="B398" s="7" t="s">
        <v>371</v>
      </c>
      <c r="C398" s="23" t="s">
        <v>372</v>
      </c>
      <c r="D398" s="23" t="s">
        <v>7</v>
      </c>
      <c r="E398" s="7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spans="1:25" s="24" customFormat="1" ht="24">
      <c r="A399" s="7">
        <v>1426808500</v>
      </c>
      <c r="B399" s="7" t="s">
        <v>371</v>
      </c>
      <c r="C399" s="23" t="s">
        <v>372</v>
      </c>
      <c r="D399" s="23" t="s">
        <v>7</v>
      </c>
      <c r="E399" s="7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spans="1:25" s="24" customFormat="1" ht="24">
      <c r="A400" s="7">
        <v>1114585317</v>
      </c>
      <c r="B400" s="7" t="s">
        <v>371</v>
      </c>
      <c r="C400" s="23" t="s">
        <v>372</v>
      </c>
      <c r="D400" s="23" t="s">
        <v>7</v>
      </c>
      <c r="E400" s="7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spans="1:25" s="24" customFormat="1" ht="24">
      <c r="A401" s="7">
        <v>1370750164</v>
      </c>
      <c r="B401" s="7" t="s">
        <v>371</v>
      </c>
      <c r="C401" s="23" t="s">
        <v>372</v>
      </c>
      <c r="D401" s="23" t="s">
        <v>7</v>
      </c>
      <c r="E401" s="7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spans="1:25" s="24" customFormat="1" ht="24">
      <c r="A402" s="7">
        <v>251645009</v>
      </c>
      <c r="B402" s="7" t="s">
        <v>371</v>
      </c>
      <c r="C402" s="23" t="s">
        <v>372</v>
      </c>
      <c r="D402" s="23" t="s">
        <v>7</v>
      </c>
      <c r="E402" s="7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spans="1:25" s="24" customFormat="1" ht="24">
      <c r="A403" s="7">
        <v>263391604</v>
      </c>
      <c r="B403" s="7" t="s">
        <v>371</v>
      </c>
      <c r="C403" s="23" t="s">
        <v>372</v>
      </c>
      <c r="D403" s="23" t="s">
        <v>7</v>
      </c>
      <c r="E403" s="7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spans="1:25" s="24" customFormat="1" ht="24">
      <c r="A404" s="7">
        <v>1469910364</v>
      </c>
      <c r="B404" s="7" t="s">
        <v>371</v>
      </c>
      <c r="C404" s="23" t="s">
        <v>372</v>
      </c>
      <c r="D404" s="23" t="s">
        <v>7</v>
      </c>
      <c r="E404" s="7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spans="1:25" s="24" customFormat="1" ht="24">
      <c r="A405" s="7">
        <v>199199140</v>
      </c>
      <c r="B405" s="7" t="s">
        <v>371</v>
      </c>
      <c r="C405" s="23" t="s">
        <v>372</v>
      </c>
      <c r="D405" s="23" t="s">
        <v>7</v>
      </c>
      <c r="E405" s="7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spans="1:25" s="24" customFormat="1" ht="24">
      <c r="A406" s="7">
        <v>1461583629</v>
      </c>
      <c r="B406" s="7" t="s">
        <v>371</v>
      </c>
      <c r="C406" s="23" t="s">
        <v>372</v>
      </c>
      <c r="D406" s="23" t="s">
        <v>7</v>
      </c>
      <c r="E406" s="7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spans="1:25" s="24" customFormat="1" ht="24">
      <c r="A407" s="7">
        <v>1159690723</v>
      </c>
      <c r="B407" s="7" t="s">
        <v>371</v>
      </c>
      <c r="C407" s="23" t="s">
        <v>372</v>
      </c>
      <c r="D407" s="23" t="s">
        <v>7</v>
      </c>
      <c r="E407" s="7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spans="1:25" s="24" customFormat="1" ht="24">
      <c r="A408" s="7">
        <v>1387667693</v>
      </c>
      <c r="B408" s="7" t="s">
        <v>371</v>
      </c>
      <c r="C408" s="23" t="s">
        <v>372</v>
      </c>
      <c r="D408" s="23" t="s">
        <v>7</v>
      </c>
      <c r="E408" s="7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spans="1:25" s="24" customFormat="1" ht="24">
      <c r="A409" s="7">
        <v>1424070748</v>
      </c>
      <c r="B409" s="7" t="s">
        <v>371</v>
      </c>
      <c r="C409" s="23" t="s">
        <v>372</v>
      </c>
      <c r="D409" s="23" t="s">
        <v>7</v>
      </c>
      <c r="E409" s="7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spans="1:25" s="24" customFormat="1" ht="24">
      <c r="A410" s="7">
        <v>15665498</v>
      </c>
      <c r="B410" s="7" t="s">
        <v>371</v>
      </c>
      <c r="C410" s="23" t="s">
        <v>372</v>
      </c>
      <c r="D410" s="23" t="s">
        <v>7</v>
      </c>
      <c r="E410" s="7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spans="1:25" s="24" customFormat="1" ht="24">
      <c r="A411" s="7">
        <v>1446287023</v>
      </c>
      <c r="B411" s="7" t="s">
        <v>371</v>
      </c>
      <c r="C411" s="23" t="s">
        <v>372</v>
      </c>
      <c r="D411" s="23" t="s">
        <v>7</v>
      </c>
      <c r="E411" s="7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spans="1:25" s="24" customFormat="1" ht="24">
      <c r="A412" s="7">
        <v>268300847</v>
      </c>
      <c r="B412" s="7" t="s">
        <v>371</v>
      </c>
      <c r="C412" s="23" t="s">
        <v>372</v>
      </c>
      <c r="D412" s="23" t="s">
        <v>7</v>
      </c>
      <c r="E412" s="7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spans="1:25" s="24" customFormat="1" ht="24">
      <c r="A413" s="7">
        <v>798617488</v>
      </c>
      <c r="B413" s="7" t="s">
        <v>371</v>
      </c>
      <c r="C413" s="23" t="s">
        <v>372</v>
      </c>
      <c r="D413" s="23" t="s">
        <v>7</v>
      </c>
      <c r="E413" s="7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spans="1:25" s="24" customFormat="1" ht="24">
      <c r="A414" s="7">
        <v>678610452</v>
      </c>
      <c r="B414" s="7" t="s">
        <v>371</v>
      </c>
      <c r="C414" s="23" t="s">
        <v>372</v>
      </c>
      <c r="D414" s="23" t="s">
        <v>7</v>
      </c>
      <c r="E414" s="7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spans="1:25" s="24" customFormat="1" ht="24">
      <c r="A415" s="7">
        <v>2457362902</v>
      </c>
      <c r="B415" s="7" t="s">
        <v>371</v>
      </c>
      <c r="C415" s="23" t="s">
        <v>372</v>
      </c>
      <c r="D415" s="23" t="s">
        <v>7</v>
      </c>
      <c r="E415" s="7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spans="1:25" s="24" customFormat="1" ht="24">
      <c r="A416" s="7">
        <v>330532268</v>
      </c>
      <c r="B416" s="7" t="s">
        <v>371</v>
      </c>
      <c r="C416" s="23" t="s">
        <v>372</v>
      </c>
      <c r="D416" s="23" t="s">
        <v>7</v>
      </c>
      <c r="E416" s="7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spans="1:25" s="24" customFormat="1" ht="24">
      <c r="A417" s="7">
        <v>149518102</v>
      </c>
      <c r="B417" s="7" t="s">
        <v>371</v>
      </c>
      <c r="C417" s="23" t="s">
        <v>372</v>
      </c>
      <c r="D417" s="23" t="s">
        <v>7</v>
      </c>
      <c r="E417" s="7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spans="1:25" s="24" customFormat="1" ht="24">
      <c r="A418" s="7">
        <v>1420365380</v>
      </c>
      <c r="B418" s="7" t="s">
        <v>371</v>
      </c>
      <c r="C418" s="23" t="s">
        <v>372</v>
      </c>
      <c r="D418" s="23" t="s">
        <v>7</v>
      </c>
      <c r="E418" s="7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spans="1:25" s="24" customFormat="1" ht="24">
      <c r="A419" s="7">
        <v>1185718745</v>
      </c>
      <c r="B419" s="7" t="s">
        <v>371</v>
      </c>
      <c r="C419" s="23" t="s">
        <v>372</v>
      </c>
      <c r="D419" s="23" t="s">
        <v>7</v>
      </c>
      <c r="E419" s="7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spans="1:25" s="24" customFormat="1" ht="24">
      <c r="A420" s="7">
        <v>1434694534</v>
      </c>
      <c r="B420" s="7" t="s">
        <v>371</v>
      </c>
      <c r="C420" s="23" t="s">
        <v>372</v>
      </c>
      <c r="D420" s="23" t="s">
        <v>7</v>
      </c>
      <c r="E420" s="7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spans="1:25" s="24" customFormat="1" ht="24">
      <c r="A421" s="7">
        <v>2569994453</v>
      </c>
      <c r="B421" s="7" t="s">
        <v>371</v>
      </c>
      <c r="C421" s="23" t="s">
        <v>372</v>
      </c>
      <c r="D421" s="23" t="s">
        <v>7</v>
      </c>
      <c r="E421" s="7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spans="1:25" s="24" customFormat="1" ht="24">
      <c r="A422" s="7">
        <v>1365706499</v>
      </c>
      <c r="B422" s="7" t="s">
        <v>371</v>
      </c>
      <c r="C422" s="23" t="s">
        <v>372</v>
      </c>
      <c r="D422" s="23" t="s">
        <v>7</v>
      </c>
      <c r="E422" s="7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spans="1:25" s="24" customFormat="1" ht="24">
      <c r="A423" s="7">
        <v>1434918733</v>
      </c>
      <c r="B423" s="7" t="s">
        <v>371</v>
      </c>
      <c r="C423" s="23" t="s">
        <v>372</v>
      </c>
      <c r="D423" s="23" t="s">
        <v>7</v>
      </c>
      <c r="E423" s="7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spans="1:25" s="24" customFormat="1" ht="24">
      <c r="A424" s="7">
        <v>1451916544</v>
      </c>
      <c r="B424" s="7" t="s">
        <v>371</v>
      </c>
      <c r="C424" s="23" t="s">
        <v>372</v>
      </c>
      <c r="D424" s="23" t="s">
        <v>7</v>
      </c>
      <c r="E424" s="7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spans="1:25" s="24" customFormat="1" ht="24">
      <c r="A425" s="7">
        <v>1482183974</v>
      </c>
      <c r="B425" s="7" t="s">
        <v>371</v>
      </c>
      <c r="C425" s="23" t="s">
        <v>372</v>
      </c>
      <c r="D425" s="23" t="s">
        <v>7</v>
      </c>
      <c r="E425" s="7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spans="1:25" s="24" customFormat="1" ht="24">
      <c r="A426" s="7">
        <v>2351879503</v>
      </c>
      <c r="B426" s="7" t="s">
        <v>371</v>
      </c>
      <c r="C426" s="23" t="s">
        <v>372</v>
      </c>
      <c r="D426" s="23" t="s">
        <v>7</v>
      </c>
      <c r="E426" s="7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spans="1:25" s="24" customFormat="1" ht="24">
      <c r="A427" s="7">
        <v>1514602500</v>
      </c>
      <c r="B427" s="7" t="s">
        <v>371</v>
      </c>
      <c r="C427" s="23" t="s">
        <v>372</v>
      </c>
      <c r="D427" s="23" t="s">
        <v>7</v>
      </c>
      <c r="E427" s="7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spans="1:25" s="24" customFormat="1" ht="24">
      <c r="A428" s="7">
        <v>2313173800</v>
      </c>
      <c r="B428" s="7" t="s">
        <v>371</v>
      </c>
      <c r="C428" s="23" t="s">
        <v>372</v>
      </c>
      <c r="D428" s="23" t="s">
        <v>7</v>
      </c>
      <c r="E428" s="7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spans="1:25" s="24" customFormat="1" ht="24">
      <c r="A429" s="7">
        <v>547239300</v>
      </c>
      <c r="B429" s="7" t="s">
        <v>371</v>
      </c>
      <c r="C429" s="23" t="s">
        <v>372</v>
      </c>
      <c r="D429" s="23" t="s">
        <v>7</v>
      </c>
      <c r="E429" s="7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spans="1:25" s="24" customFormat="1" ht="24">
      <c r="A430" s="7">
        <v>1427776750</v>
      </c>
      <c r="B430" s="7" t="s">
        <v>371</v>
      </c>
      <c r="C430" s="23" t="s">
        <v>372</v>
      </c>
      <c r="D430" s="23" t="s">
        <v>7</v>
      </c>
      <c r="E430" s="7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spans="1:25" ht="12.75">
      <c r="A431" s="8"/>
      <c r="B431" s="8"/>
      <c r="C431" s="8"/>
      <c r="D431" s="8"/>
      <c r="E431" s="9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>
      <c r="A432" s="8"/>
      <c r="B432" s="8"/>
      <c r="C432" s="8"/>
      <c r="D432" s="8"/>
      <c r="E432" s="9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>
      <c r="A433" s="8"/>
      <c r="B433" s="8"/>
      <c r="C433" s="8"/>
      <c r="D433" s="8"/>
      <c r="E433" s="9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>
      <c r="A434" s="8"/>
      <c r="B434" s="8"/>
      <c r="C434" s="8"/>
      <c r="D434" s="8"/>
      <c r="E434" s="9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>
      <c r="A435" s="8"/>
      <c r="B435" s="8"/>
      <c r="C435" s="8"/>
      <c r="D435" s="8"/>
      <c r="E435" s="9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>
      <c r="A436" s="8"/>
      <c r="B436" s="8"/>
      <c r="C436" s="8"/>
      <c r="D436" s="8"/>
      <c r="E436" s="9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>
      <c r="A437" s="8"/>
      <c r="B437" s="8"/>
      <c r="C437" s="8"/>
      <c r="D437" s="8"/>
      <c r="E437" s="9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>
      <c r="A438" s="8"/>
      <c r="B438" s="8"/>
      <c r="C438" s="8"/>
      <c r="D438" s="8"/>
      <c r="E438" s="9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>
      <c r="A439" s="8"/>
      <c r="B439" s="8"/>
      <c r="C439" s="8"/>
      <c r="D439" s="8"/>
      <c r="E439" s="9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>
      <c r="A440" s="8"/>
      <c r="B440" s="8"/>
      <c r="C440" s="8"/>
      <c r="D440" s="8"/>
      <c r="E440" s="9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>
      <c r="A441" s="8"/>
      <c r="B441" s="8"/>
      <c r="C441" s="8"/>
      <c r="D441" s="8"/>
      <c r="E441" s="9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>
      <c r="A442" s="8"/>
      <c r="B442" s="8"/>
      <c r="C442" s="8"/>
      <c r="D442" s="8"/>
      <c r="E442" s="9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>
      <c r="A443" s="8"/>
      <c r="B443" s="8"/>
      <c r="C443" s="8"/>
      <c r="D443" s="8"/>
      <c r="E443" s="9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>
      <c r="A444" s="8"/>
      <c r="B444" s="8"/>
      <c r="C444" s="8"/>
      <c r="D444" s="8"/>
      <c r="E444" s="9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>
      <c r="A445" s="8"/>
      <c r="B445" s="8"/>
      <c r="C445" s="8"/>
      <c r="D445" s="8"/>
      <c r="E445" s="9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>
      <c r="A446" s="8"/>
      <c r="B446" s="8"/>
      <c r="C446" s="8"/>
      <c r="D446" s="8"/>
      <c r="E446" s="9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>
      <c r="A447" s="8"/>
      <c r="B447" s="8"/>
      <c r="C447" s="8"/>
      <c r="D447" s="8"/>
      <c r="E447" s="9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>
      <c r="A448" s="8"/>
      <c r="B448" s="8"/>
      <c r="C448" s="8"/>
      <c r="D448" s="8"/>
      <c r="E448" s="9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>
      <c r="A449" s="8"/>
      <c r="B449" s="8"/>
      <c r="C449" s="8"/>
      <c r="D449" s="8"/>
      <c r="E449" s="9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>
      <c r="A450" s="8"/>
      <c r="B450" s="8"/>
      <c r="C450" s="8"/>
      <c r="D450" s="8"/>
      <c r="E450" s="9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>
      <c r="A451" s="8"/>
      <c r="B451" s="8"/>
      <c r="C451" s="8"/>
      <c r="D451" s="8"/>
      <c r="E451" s="9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>
      <c r="A452" s="8"/>
      <c r="B452" s="8"/>
      <c r="C452" s="8"/>
      <c r="D452" s="8"/>
      <c r="E452" s="9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>
      <c r="A453" s="8"/>
      <c r="B453" s="8"/>
      <c r="C453" s="8"/>
      <c r="D453" s="8"/>
      <c r="E453" s="9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>
      <c r="A454" s="8"/>
      <c r="B454" s="8"/>
      <c r="C454" s="8"/>
      <c r="D454" s="8"/>
      <c r="E454" s="9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>
      <c r="A455" s="8"/>
      <c r="B455" s="8"/>
      <c r="C455" s="8"/>
      <c r="D455" s="8"/>
      <c r="E455" s="9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>
      <c r="A456" s="8"/>
      <c r="B456" s="8"/>
      <c r="C456" s="8"/>
      <c r="D456" s="8"/>
      <c r="E456" s="9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>
      <c r="A457" s="8"/>
      <c r="B457" s="8"/>
      <c r="C457" s="8"/>
      <c r="D457" s="8"/>
      <c r="E457" s="9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>
      <c r="A458" s="8"/>
      <c r="B458" s="8"/>
      <c r="C458" s="8"/>
      <c r="D458" s="8"/>
      <c r="E458" s="9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>
      <c r="A459" s="8"/>
      <c r="B459" s="8"/>
      <c r="C459" s="8"/>
      <c r="D459" s="8"/>
      <c r="E459" s="9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>
      <c r="A460" s="8"/>
      <c r="B460" s="8"/>
      <c r="C460" s="8"/>
      <c r="D460" s="8"/>
      <c r="E460" s="9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>
      <c r="A461" s="8"/>
      <c r="B461" s="8"/>
      <c r="C461" s="8"/>
      <c r="D461" s="8"/>
      <c r="E461" s="9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>
      <c r="A462" s="8"/>
      <c r="B462" s="8"/>
      <c r="C462" s="8"/>
      <c r="D462" s="8"/>
      <c r="E462" s="9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>
      <c r="A463" s="8"/>
      <c r="B463" s="8"/>
      <c r="C463" s="8"/>
      <c r="D463" s="8"/>
      <c r="E463" s="9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>
      <c r="A464" s="8"/>
      <c r="B464" s="8"/>
      <c r="C464" s="8"/>
      <c r="D464" s="8"/>
      <c r="E464" s="9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>
      <c r="A465" s="8"/>
      <c r="B465" s="8"/>
      <c r="C465" s="8"/>
      <c r="D465" s="8"/>
      <c r="E465" s="9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>
      <c r="A466" s="8"/>
      <c r="B466" s="8"/>
      <c r="C466" s="8"/>
      <c r="D466" s="8"/>
      <c r="E466" s="9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>
      <c r="A467" s="8"/>
      <c r="B467" s="8"/>
      <c r="C467" s="8"/>
      <c r="D467" s="8"/>
      <c r="E467" s="9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>
      <c r="A468" s="8"/>
      <c r="B468" s="8"/>
      <c r="C468" s="8"/>
      <c r="D468" s="8"/>
      <c r="E468" s="9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>
      <c r="A469" s="8"/>
      <c r="B469" s="8"/>
      <c r="C469" s="8"/>
      <c r="D469" s="8"/>
      <c r="E469" s="9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>
      <c r="A470" s="8"/>
      <c r="B470" s="8"/>
      <c r="C470" s="8"/>
      <c r="D470" s="8"/>
      <c r="E470" s="9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>
      <c r="A471" s="8"/>
      <c r="B471" s="8"/>
      <c r="C471" s="8"/>
      <c r="D471" s="8"/>
      <c r="E471" s="9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>
      <c r="A472" s="8"/>
      <c r="B472" s="8"/>
      <c r="C472" s="8"/>
      <c r="D472" s="8"/>
      <c r="E472" s="9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>
      <c r="A473" s="8"/>
      <c r="B473" s="8"/>
      <c r="C473" s="8"/>
      <c r="D473" s="8"/>
      <c r="E473" s="9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>
      <c r="A474" s="8"/>
      <c r="B474" s="8"/>
      <c r="C474" s="8"/>
      <c r="D474" s="8"/>
      <c r="E474" s="9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>
      <c r="A475" s="8"/>
      <c r="B475" s="8"/>
      <c r="C475" s="8"/>
      <c r="D475" s="8"/>
      <c r="E475" s="9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>
      <c r="A476" s="8"/>
      <c r="B476" s="8"/>
      <c r="C476" s="8"/>
      <c r="D476" s="8"/>
      <c r="E476" s="9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>
      <c r="A477" s="8"/>
      <c r="B477" s="8"/>
      <c r="C477" s="8"/>
      <c r="D477" s="8"/>
      <c r="E477" s="9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>
      <c r="A478" s="8"/>
      <c r="B478" s="8"/>
      <c r="C478" s="8"/>
      <c r="D478" s="8"/>
      <c r="E478" s="9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>
      <c r="A479" s="8"/>
      <c r="B479" s="8"/>
      <c r="C479" s="8"/>
      <c r="D479" s="8"/>
      <c r="E479" s="9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>
      <c r="A480" s="8"/>
      <c r="B480" s="8"/>
      <c r="C480" s="8"/>
      <c r="D480" s="8"/>
      <c r="E480" s="9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>
      <c r="A481" s="8"/>
      <c r="B481" s="8"/>
      <c r="C481" s="8"/>
      <c r="D481" s="8"/>
      <c r="E481" s="9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>
      <c r="A482" s="8"/>
      <c r="B482" s="8"/>
      <c r="C482" s="8"/>
      <c r="D482" s="8"/>
      <c r="E482" s="9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>
      <c r="A483" s="8"/>
      <c r="B483" s="8"/>
      <c r="C483" s="8"/>
      <c r="D483" s="8"/>
      <c r="E483" s="9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>
      <c r="A484" s="8"/>
      <c r="B484" s="8"/>
      <c r="C484" s="8"/>
      <c r="D484" s="8"/>
      <c r="E484" s="9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>
      <c r="A485" s="8"/>
      <c r="B485" s="8"/>
      <c r="C485" s="8"/>
      <c r="D485" s="8"/>
      <c r="E485" s="9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>
      <c r="A486" s="8"/>
      <c r="B486" s="8"/>
      <c r="C486" s="8"/>
      <c r="D486" s="8"/>
      <c r="E486" s="9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>
      <c r="A487" s="8"/>
      <c r="B487" s="8"/>
      <c r="C487" s="8"/>
      <c r="D487" s="8"/>
      <c r="E487" s="9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>
      <c r="A488" s="8"/>
      <c r="B488" s="8"/>
      <c r="C488" s="8"/>
      <c r="D488" s="8"/>
      <c r="E488" s="9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>
      <c r="A489" s="8"/>
      <c r="B489" s="8"/>
      <c r="C489" s="8"/>
      <c r="D489" s="8"/>
      <c r="E489" s="9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>
      <c r="A490" s="8"/>
      <c r="B490" s="8"/>
      <c r="C490" s="8"/>
      <c r="D490" s="8"/>
      <c r="E490" s="9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>
      <c r="A491" s="8"/>
      <c r="B491" s="8"/>
      <c r="C491" s="8"/>
      <c r="D491" s="8"/>
      <c r="E491" s="9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>
      <c r="A492" s="8"/>
      <c r="B492" s="8"/>
      <c r="C492" s="8"/>
      <c r="D492" s="8"/>
      <c r="E492" s="9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>
      <c r="A493" s="8"/>
      <c r="B493" s="8"/>
      <c r="C493" s="8"/>
      <c r="D493" s="8"/>
      <c r="E493" s="9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>
      <c r="A494" s="8"/>
      <c r="B494" s="8"/>
      <c r="C494" s="8"/>
      <c r="D494" s="8"/>
      <c r="E494" s="9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>
      <c r="A495" s="8"/>
      <c r="B495" s="8"/>
      <c r="C495" s="8"/>
      <c r="D495" s="8"/>
      <c r="E495" s="9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>
      <c r="A496" s="8"/>
      <c r="B496" s="8"/>
      <c r="C496" s="8"/>
      <c r="D496" s="8"/>
      <c r="E496" s="9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>
      <c r="A497" s="8"/>
      <c r="B497" s="8"/>
      <c r="C497" s="8"/>
      <c r="D497" s="8"/>
      <c r="E497" s="9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>
      <c r="A498" s="8"/>
      <c r="B498" s="8"/>
      <c r="C498" s="8"/>
      <c r="D498" s="8"/>
      <c r="E498" s="9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>
      <c r="A499" s="8"/>
      <c r="B499" s="8"/>
      <c r="C499" s="8"/>
      <c r="D499" s="8"/>
      <c r="E499" s="9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>
      <c r="A500" s="8"/>
      <c r="B500" s="8"/>
      <c r="C500" s="8"/>
      <c r="D500" s="8"/>
      <c r="E500" s="9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>
      <c r="A501" s="8"/>
      <c r="B501" s="8"/>
      <c r="C501" s="8"/>
      <c r="D501" s="8"/>
      <c r="E501" s="9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>
      <c r="A502" s="8"/>
      <c r="B502" s="8"/>
      <c r="C502" s="8"/>
      <c r="D502" s="8"/>
      <c r="E502" s="9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>
      <c r="A503" s="8"/>
      <c r="B503" s="8"/>
      <c r="C503" s="8"/>
      <c r="D503" s="8"/>
      <c r="E503" s="9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>
      <c r="A504" s="8"/>
      <c r="B504" s="8"/>
      <c r="C504" s="8"/>
      <c r="D504" s="8"/>
      <c r="E504" s="9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>
      <c r="A505" s="8"/>
      <c r="B505" s="8"/>
      <c r="C505" s="8"/>
      <c r="D505" s="8"/>
      <c r="E505" s="9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>
      <c r="A506" s="8"/>
      <c r="B506" s="8"/>
      <c r="C506" s="8"/>
      <c r="D506" s="8"/>
      <c r="E506" s="9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>
      <c r="A507" s="8"/>
      <c r="B507" s="8"/>
      <c r="C507" s="8"/>
      <c r="D507" s="8"/>
      <c r="E507" s="9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>
      <c r="A508" s="8"/>
      <c r="B508" s="8"/>
      <c r="C508" s="8"/>
      <c r="D508" s="8"/>
      <c r="E508" s="9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>
      <c r="A509" s="8"/>
      <c r="B509" s="8"/>
      <c r="C509" s="8"/>
      <c r="D509" s="8"/>
      <c r="E509" s="9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>
      <c r="A510" s="8"/>
      <c r="B510" s="8"/>
      <c r="C510" s="8"/>
      <c r="D510" s="8"/>
      <c r="E510" s="9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>
      <c r="A511" s="8"/>
      <c r="B511" s="8"/>
      <c r="C511" s="8"/>
      <c r="D511" s="8"/>
      <c r="E511" s="9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>
      <c r="A512" s="8"/>
      <c r="B512" s="8"/>
      <c r="C512" s="8"/>
      <c r="D512" s="8"/>
      <c r="E512" s="9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>
      <c r="A513" s="8"/>
      <c r="B513" s="8"/>
      <c r="C513" s="8"/>
      <c r="D513" s="8"/>
      <c r="E513" s="9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>
      <c r="A514" s="8"/>
      <c r="B514" s="8"/>
      <c r="C514" s="8"/>
      <c r="D514" s="8"/>
      <c r="E514" s="9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>
      <c r="A515" s="8"/>
      <c r="B515" s="8"/>
      <c r="C515" s="8"/>
      <c r="D515" s="8"/>
      <c r="E515" s="9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>
      <c r="A516" s="8"/>
      <c r="B516" s="8"/>
      <c r="C516" s="8"/>
      <c r="D516" s="8"/>
      <c r="E516" s="9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>
      <c r="A517" s="8"/>
      <c r="B517" s="8"/>
      <c r="C517" s="8"/>
      <c r="D517" s="8"/>
      <c r="E517" s="9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>
      <c r="A518" s="8"/>
      <c r="B518" s="8"/>
      <c r="C518" s="8"/>
      <c r="D518" s="8"/>
      <c r="E518" s="9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>
      <c r="A519" s="8"/>
      <c r="B519" s="8"/>
      <c r="C519" s="8"/>
      <c r="D519" s="8"/>
      <c r="E519" s="9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>
      <c r="A520" s="8"/>
      <c r="B520" s="8"/>
      <c r="C520" s="8"/>
      <c r="D520" s="8"/>
      <c r="E520" s="9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>
      <c r="A521" s="8"/>
      <c r="B521" s="8"/>
      <c r="C521" s="8"/>
      <c r="D521" s="8"/>
      <c r="E521" s="9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>
      <c r="A522" s="8"/>
      <c r="B522" s="8"/>
      <c r="C522" s="8"/>
      <c r="D522" s="8"/>
      <c r="E522" s="9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>
      <c r="A523" s="8"/>
      <c r="B523" s="8"/>
      <c r="C523" s="8"/>
      <c r="D523" s="8"/>
      <c r="E523" s="9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>
      <c r="A524" s="8"/>
      <c r="B524" s="8"/>
      <c r="C524" s="8"/>
      <c r="D524" s="8"/>
      <c r="E524" s="9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>
      <c r="A525" s="8"/>
      <c r="B525" s="8"/>
      <c r="C525" s="8"/>
      <c r="D525" s="8"/>
      <c r="E525" s="9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>
      <c r="A526" s="8"/>
      <c r="B526" s="8"/>
      <c r="C526" s="8"/>
      <c r="D526" s="8"/>
      <c r="E526" s="9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>
      <c r="A527" s="8"/>
      <c r="B527" s="8"/>
      <c r="C527" s="8"/>
      <c r="D527" s="8"/>
      <c r="E527" s="9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>
      <c r="A528" s="8"/>
      <c r="B528" s="8"/>
      <c r="C528" s="8"/>
      <c r="D528" s="8"/>
      <c r="E528" s="9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>
      <c r="A529" s="8"/>
      <c r="B529" s="8"/>
      <c r="C529" s="8"/>
      <c r="D529" s="8"/>
      <c r="E529" s="9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>
      <c r="A530" s="8"/>
      <c r="B530" s="8"/>
      <c r="C530" s="8"/>
      <c r="D530" s="8"/>
      <c r="E530" s="9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>
      <c r="A531" s="8"/>
      <c r="B531" s="8"/>
      <c r="C531" s="8"/>
      <c r="D531" s="8"/>
      <c r="E531" s="9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>
      <c r="A532" s="8"/>
      <c r="B532" s="8"/>
      <c r="C532" s="8"/>
      <c r="D532" s="8"/>
      <c r="E532" s="9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>
      <c r="A533" s="8"/>
      <c r="B533" s="8"/>
      <c r="C533" s="8"/>
      <c r="D533" s="8"/>
      <c r="E533" s="9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>
      <c r="A534" s="8"/>
      <c r="B534" s="8"/>
      <c r="C534" s="8"/>
      <c r="D534" s="8"/>
      <c r="E534" s="9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>
      <c r="A535" s="8"/>
      <c r="B535" s="8"/>
      <c r="C535" s="8"/>
      <c r="D535" s="8"/>
      <c r="E535" s="9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>
      <c r="A536" s="8"/>
      <c r="B536" s="8"/>
      <c r="C536" s="8"/>
      <c r="D536" s="8"/>
      <c r="E536" s="9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>
      <c r="A537" s="8"/>
      <c r="B537" s="8"/>
      <c r="C537" s="8"/>
      <c r="D537" s="8"/>
      <c r="E537" s="9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>
      <c r="A538" s="8"/>
      <c r="B538" s="8"/>
      <c r="C538" s="8"/>
      <c r="D538" s="8"/>
      <c r="E538" s="9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>
      <c r="A539" s="8"/>
      <c r="B539" s="8"/>
      <c r="C539" s="8"/>
      <c r="D539" s="8"/>
      <c r="E539" s="9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>
      <c r="A540" s="8"/>
      <c r="B540" s="8"/>
      <c r="C540" s="8"/>
      <c r="D540" s="8"/>
      <c r="E540" s="9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>
      <c r="A541" s="8"/>
      <c r="B541" s="8"/>
      <c r="C541" s="8"/>
      <c r="D541" s="8"/>
      <c r="E541" s="9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>
      <c r="A542" s="8"/>
      <c r="B542" s="8"/>
      <c r="C542" s="8"/>
      <c r="D542" s="8"/>
      <c r="E542" s="9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>
      <c r="A543" s="8"/>
      <c r="B543" s="8"/>
      <c r="C543" s="8"/>
      <c r="D543" s="8"/>
      <c r="E543" s="9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>
      <c r="A544" s="8"/>
      <c r="B544" s="8"/>
      <c r="C544" s="8"/>
      <c r="D544" s="8"/>
      <c r="E544" s="9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>
      <c r="A545" s="8"/>
      <c r="B545" s="8"/>
      <c r="C545" s="8"/>
      <c r="D545" s="8"/>
      <c r="E545" s="9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>
      <c r="A546" s="8"/>
      <c r="B546" s="8"/>
      <c r="C546" s="8"/>
      <c r="D546" s="8"/>
      <c r="E546" s="9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>
      <c r="A547" s="8"/>
      <c r="B547" s="8"/>
      <c r="C547" s="8"/>
      <c r="D547" s="8"/>
      <c r="E547" s="9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>
      <c r="A548" s="8"/>
      <c r="B548" s="8"/>
      <c r="C548" s="8"/>
      <c r="D548" s="8"/>
      <c r="E548" s="9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>
      <c r="A549" s="8"/>
      <c r="B549" s="8"/>
      <c r="C549" s="8"/>
      <c r="D549" s="8"/>
      <c r="E549" s="9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>
      <c r="A550" s="8"/>
      <c r="B550" s="8"/>
      <c r="C550" s="8"/>
      <c r="D550" s="8"/>
      <c r="E550" s="9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>
      <c r="A551" s="8"/>
      <c r="B551" s="8"/>
      <c r="C551" s="8"/>
      <c r="D551" s="8"/>
      <c r="E551" s="9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>
      <c r="A552" s="8"/>
      <c r="B552" s="8"/>
      <c r="C552" s="8"/>
      <c r="D552" s="8"/>
      <c r="E552" s="9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>
      <c r="A553" s="8"/>
      <c r="B553" s="8"/>
      <c r="C553" s="8"/>
      <c r="D553" s="8"/>
      <c r="E553" s="9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>
      <c r="A554" s="8"/>
      <c r="B554" s="8"/>
      <c r="C554" s="8"/>
      <c r="D554" s="8"/>
      <c r="E554" s="9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>
      <c r="A555" s="8"/>
      <c r="B555" s="8"/>
      <c r="C555" s="8"/>
      <c r="D555" s="8"/>
      <c r="E555" s="9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>
      <c r="A556" s="8"/>
      <c r="B556" s="8"/>
      <c r="C556" s="8"/>
      <c r="D556" s="8"/>
      <c r="E556" s="9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>
      <c r="A557" s="8"/>
      <c r="B557" s="8"/>
      <c r="C557" s="8"/>
      <c r="D557" s="8"/>
      <c r="E557" s="9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>
      <c r="A558" s="8"/>
      <c r="B558" s="8"/>
      <c r="C558" s="8"/>
      <c r="D558" s="8"/>
      <c r="E558" s="9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>
      <c r="A559" s="8"/>
      <c r="B559" s="8"/>
      <c r="C559" s="8"/>
      <c r="D559" s="8"/>
      <c r="E559" s="9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>
      <c r="A560" s="8"/>
      <c r="B560" s="8"/>
      <c r="C560" s="8"/>
      <c r="D560" s="8"/>
      <c r="E560" s="9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>
      <c r="A561" s="8"/>
      <c r="B561" s="8"/>
      <c r="C561" s="8"/>
      <c r="D561" s="8"/>
      <c r="E561" s="9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>
      <c r="A562" s="8"/>
      <c r="B562" s="8"/>
      <c r="C562" s="8"/>
      <c r="D562" s="8"/>
      <c r="E562" s="9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>
      <c r="A563" s="8"/>
      <c r="B563" s="8"/>
      <c r="C563" s="8"/>
      <c r="D563" s="8"/>
      <c r="E563" s="9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>
      <c r="A564" s="8"/>
      <c r="B564" s="8"/>
      <c r="C564" s="8"/>
      <c r="D564" s="8"/>
      <c r="E564" s="9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>
      <c r="A565" s="8"/>
      <c r="B565" s="8"/>
      <c r="C565" s="8"/>
      <c r="D565" s="8"/>
      <c r="E565" s="9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>
      <c r="A566" s="8"/>
      <c r="B566" s="8"/>
      <c r="C566" s="8"/>
      <c r="D566" s="8"/>
      <c r="E566" s="9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>
      <c r="A567" s="8"/>
      <c r="B567" s="8"/>
      <c r="C567" s="8"/>
      <c r="D567" s="8"/>
      <c r="E567" s="9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>
      <c r="A568" s="8"/>
      <c r="B568" s="8"/>
      <c r="C568" s="8"/>
      <c r="D568" s="8"/>
      <c r="E568" s="9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>
      <c r="A569" s="8"/>
      <c r="B569" s="8"/>
      <c r="C569" s="8"/>
      <c r="D569" s="8"/>
      <c r="E569" s="9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>
      <c r="A570" s="8"/>
      <c r="B570" s="8"/>
      <c r="C570" s="8"/>
      <c r="D570" s="8"/>
      <c r="E570" s="9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>
      <c r="A571" s="8"/>
      <c r="B571" s="8"/>
      <c r="C571" s="8"/>
      <c r="D571" s="8"/>
      <c r="E571" s="9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>
      <c r="A572" s="8"/>
      <c r="B572" s="8"/>
      <c r="C572" s="8"/>
      <c r="D572" s="8"/>
      <c r="E572" s="9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>
      <c r="A573" s="8"/>
      <c r="B573" s="8"/>
      <c r="C573" s="8"/>
      <c r="D573" s="8"/>
      <c r="E573" s="9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>
      <c r="A574" s="8"/>
      <c r="B574" s="8"/>
      <c r="C574" s="8"/>
      <c r="D574" s="8"/>
      <c r="E574" s="9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>
      <c r="A575" s="8"/>
      <c r="B575" s="8"/>
      <c r="C575" s="8"/>
      <c r="D575" s="8"/>
      <c r="E575" s="9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>
      <c r="A576" s="8"/>
      <c r="B576" s="8"/>
      <c r="C576" s="8"/>
      <c r="D576" s="8"/>
      <c r="E576" s="9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>
      <c r="A577" s="8"/>
      <c r="B577" s="8"/>
      <c r="C577" s="8"/>
      <c r="D577" s="8"/>
      <c r="E577" s="9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>
      <c r="A578" s="8"/>
      <c r="B578" s="8"/>
      <c r="C578" s="8"/>
      <c r="D578" s="8"/>
      <c r="E578" s="9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>
      <c r="A579" s="8"/>
      <c r="B579" s="8"/>
      <c r="C579" s="8"/>
      <c r="D579" s="8"/>
      <c r="E579" s="9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>
      <c r="A580" s="8"/>
      <c r="B580" s="8"/>
      <c r="C580" s="8"/>
      <c r="D580" s="8"/>
      <c r="E580" s="9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>
      <c r="A581" s="8"/>
      <c r="B581" s="8"/>
      <c r="C581" s="8"/>
      <c r="D581" s="8"/>
      <c r="E581" s="9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>
      <c r="A582" s="8"/>
      <c r="B582" s="8"/>
      <c r="C582" s="8"/>
      <c r="D582" s="8"/>
      <c r="E582" s="9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>
      <c r="A583" s="8"/>
      <c r="B583" s="8"/>
      <c r="C583" s="8"/>
      <c r="D583" s="8"/>
      <c r="E583" s="9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>
      <c r="A584" s="8"/>
      <c r="B584" s="8"/>
      <c r="C584" s="8"/>
      <c r="D584" s="8"/>
      <c r="E584" s="9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>
      <c r="A585" s="8"/>
      <c r="B585" s="8"/>
      <c r="C585" s="8"/>
      <c r="D585" s="8"/>
      <c r="E585" s="9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>
      <c r="A586" s="8"/>
      <c r="B586" s="8"/>
      <c r="C586" s="8"/>
      <c r="D586" s="8"/>
      <c r="E586" s="9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>
      <c r="A587" s="8"/>
      <c r="B587" s="8"/>
      <c r="C587" s="8"/>
      <c r="D587" s="8"/>
      <c r="E587" s="9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>
      <c r="A588" s="8"/>
      <c r="B588" s="8"/>
      <c r="C588" s="8"/>
      <c r="D588" s="8"/>
      <c r="E588" s="9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>
      <c r="A589" s="8"/>
      <c r="B589" s="8"/>
      <c r="C589" s="8"/>
      <c r="D589" s="8"/>
      <c r="E589" s="9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>
      <c r="A590" s="8"/>
      <c r="B590" s="8"/>
      <c r="C590" s="8"/>
      <c r="D590" s="8"/>
      <c r="E590" s="9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>
      <c r="A591" s="8"/>
      <c r="B591" s="8"/>
      <c r="C591" s="8"/>
      <c r="D591" s="8"/>
      <c r="E591" s="9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>
      <c r="A592" s="8"/>
      <c r="B592" s="8"/>
      <c r="C592" s="8"/>
      <c r="D592" s="8"/>
      <c r="E592" s="9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>
      <c r="A593" s="8"/>
      <c r="B593" s="8"/>
      <c r="C593" s="8"/>
      <c r="D593" s="8"/>
      <c r="E593" s="9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>
      <c r="A594" s="8"/>
      <c r="B594" s="8"/>
      <c r="C594" s="8"/>
      <c r="D594" s="8"/>
      <c r="E594" s="9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>
      <c r="A595" s="8"/>
      <c r="B595" s="8"/>
      <c r="C595" s="8"/>
      <c r="D595" s="8"/>
      <c r="E595" s="9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>
      <c r="A596" s="8"/>
      <c r="B596" s="8"/>
      <c r="C596" s="8"/>
      <c r="D596" s="8"/>
      <c r="E596" s="9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>
      <c r="A597" s="8"/>
      <c r="B597" s="8"/>
      <c r="C597" s="8"/>
      <c r="D597" s="8"/>
      <c r="E597" s="9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>
      <c r="A598" s="8"/>
      <c r="B598" s="8"/>
      <c r="C598" s="8"/>
      <c r="D598" s="8"/>
      <c r="E598" s="9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>
      <c r="A599" s="8"/>
      <c r="B599" s="8"/>
      <c r="C599" s="8"/>
      <c r="D599" s="8"/>
      <c r="E599" s="9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>
      <c r="A600" s="8"/>
      <c r="B600" s="8"/>
      <c r="C600" s="8"/>
      <c r="D600" s="8"/>
      <c r="E600" s="9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>
      <c r="A601" s="8"/>
      <c r="B601" s="8"/>
      <c r="C601" s="8"/>
      <c r="D601" s="8"/>
      <c r="E601" s="9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>
      <c r="A602" s="8"/>
      <c r="B602" s="8"/>
      <c r="C602" s="8"/>
      <c r="D602" s="8"/>
      <c r="E602" s="9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>
      <c r="A603" s="8"/>
      <c r="B603" s="8"/>
      <c r="C603" s="8"/>
      <c r="D603" s="8"/>
      <c r="E603" s="9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>
      <c r="A604" s="8"/>
      <c r="B604" s="8"/>
      <c r="C604" s="8"/>
      <c r="D604" s="8"/>
      <c r="E604" s="9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>
      <c r="A605" s="8"/>
      <c r="B605" s="8"/>
      <c r="C605" s="8"/>
      <c r="D605" s="8"/>
      <c r="E605" s="9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>
      <c r="A606" s="8"/>
      <c r="B606" s="8"/>
      <c r="C606" s="8"/>
      <c r="D606" s="8"/>
      <c r="E606" s="9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>
      <c r="A607" s="8"/>
      <c r="B607" s="8"/>
      <c r="C607" s="8"/>
      <c r="D607" s="8"/>
      <c r="E607" s="9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>
      <c r="A608" s="8"/>
      <c r="B608" s="8"/>
      <c r="C608" s="8"/>
      <c r="D608" s="8"/>
      <c r="E608" s="9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>
      <c r="A609" s="8"/>
      <c r="B609" s="8"/>
      <c r="C609" s="8"/>
      <c r="D609" s="8"/>
      <c r="E609" s="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>
      <c r="A610" s="8"/>
      <c r="B610" s="8"/>
      <c r="C610" s="8"/>
      <c r="D610" s="8"/>
      <c r="E610" s="9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>
      <c r="A611" s="8"/>
      <c r="B611" s="8"/>
      <c r="C611" s="8"/>
      <c r="D611" s="8"/>
      <c r="E611" s="9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>
      <c r="A612" s="8"/>
      <c r="B612" s="8"/>
      <c r="C612" s="8"/>
      <c r="D612" s="8"/>
      <c r="E612" s="9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>
      <c r="A613" s="8"/>
      <c r="B613" s="8"/>
      <c r="C613" s="8"/>
      <c r="D613" s="8"/>
      <c r="E613" s="9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>
      <c r="A614" s="8"/>
      <c r="B614" s="8"/>
      <c r="C614" s="8"/>
      <c r="D614" s="8"/>
      <c r="E614" s="9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>
      <c r="A615" s="8"/>
      <c r="B615" s="8"/>
      <c r="C615" s="8"/>
      <c r="D615" s="8"/>
      <c r="E615" s="9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>
      <c r="A616" s="8"/>
      <c r="B616" s="8"/>
      <c r="C616" s="8"/>
      <c r="D616" s="8"/>
      <c r="E616" s="9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>
      <c r="A617" s="8"/>
      <c r="B617" s="8"/>
      <c r="C617" s="8"/>
      <c r="D617" s="8"/>
      <c r="E617" s="9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>
      <c r="A618" s="8"/>
      <c r="B618" s="8"/>
      <c r="C618" s="8"/>
      <c r="D618" s="8"/>
      <c r="E618" s="9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>
      <c r="A619" s="8"/>
      <c r="B619" s="8"/>
      <c r="C619" s="8"/>
      <c r="D619" s="8"/>
      <c r="E619" s="9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>
      <c r="A620" s="8"/>
      <c r="B620" s="8"/>
      <c r="C620" s="8"/>
      <c r="D620" s="8"/>
      <c r="E620" s="9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>
      <c r="A621" s="8"/>
      <c r="B621" s="8"/>
      <c r="C621" s="8"/>
      <c r="D621" s="8"/>
      <c r="E621" s="9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>
      <c r="A622" s="8"/>
      <c r="B622" s="8"/>
      <c r="C622" s="8"/>
      <c r="D622" s="8"/>
      <c r="E622" s="9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>
      <c r="A623" s="8"/>
      <c r="B623" s="8"/>
      <c r="C623" s="8"/>
      <c r="D623" s="8"/>
      <c r="E623" s="9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>
      <c r="A624" s="8"/>
      <c r="B624" s="8"/>
      <c r="C624" s="8"/>
      <c r="D624" s="8"/>
      <c r="E624" s="9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>
      <c r="A625" s="8"/>
      <c r="B625" s="8"/>
      <c r="C625" s="8"/>
      <c r="D625" s="8"/>
      <c r="E625" s="9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>
      <c r="A626" s="8"/>
      <c r="B626" s="8"/>
      <c r="C626" s="8"/>
      <c r="D626" s="8"/>
      <c r="E626" s="9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>
      <c r="A627" s="8"/>
      <c r="B627" s="8"/>
      <c r="C627" s="8"/>
      <c r="D627" s="8"/>
      <c r="E627" s="9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>
      <c r="A628" s="8"/>
      <c r="B628" s="8"/>
      <c r="C628" s="8"/>
      <c r="D628" s="8"/>
      <c r="E628" s="9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>
      <c r="A629" s="8"/>
      <c r="B629" s="8"/>
      <c r="C629" s="8"/>
      <c r="D629" s="8"/>
      <c r="E629" s="9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>
      <c r="A630" s="8"/>
      <c r="B630" s="8"/>
      <c r="C630" s="8"/>
      <c r="D630" s="8"/>
      <c r="E630" s="9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>
      <c r="A631" s="8"/>
      <c r="B631" s="8"/>
      <c r="C631" s="8"/>
      <c r="D631" s="8"/>
      <c r="E631" s="9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>
      <c r="A632" s="8"/>
      <c r="B632" s="8"/>
      <c r="C632" s="8"/>
      <c r="D632" s="8"/>
      <c r="E632" s="9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>
      <c r="A633" s="8"/>
      <c r="B633" s="8"/>
      <c r="C633" s="8"/>
      <c r="D633" s="8"/>
      <c r="E633" s="9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>
      <c r="A634" s="8"/>
      <c r="B634" s="8"/>
      <c r="C634" s="8"/>
      <c r="D634" s="8"/>
      <c r="E634" s="9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>
      <c r="A635" s="8"/>
      <c r="B635" s="8"/>
      <c r="C635" s="8"/>
      <c r="D635" s="8"/>
      <c r="E635" s="9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>
      <c r="A636" s="8"/>
      <c r="B636" s="8"/>
      <c r="C636" s="8"/>
      <c r="D636" s="8"/>
      <c r="E636" s="9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>
      <c r="A637" s="8"/>
      <c r="B637" s="8"/>
      <c r="C637" s="8"/>
      <c r="D637" s="8"/>
      <c r="E637" s="9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>
      <c r="A638" s="8"/>
      <c r="B638" s="8"/>
      <c r="C638" s="8"/>
      <c r="D638" s="8"/>
      <c r="E638" s="9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>
      <c r="A639" s="8"/>
      <c r="B639" s="8"/>
      <c r="C639" s="8"/>
      <c r="D639" s="8"/>
      <c r="E639" s="9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>
      <c r="A640" s="8"/>
      <c r="B640" s="8"/>
      <c r="C640" s="8"/>
      <c r="D640" s="8"/>
      <c r="E640" s="9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>
      <c r="A641" s="8"/>
      <c r="B641" s="8"/>
      <c r="C641" s="8"/>
      <c r="D641" s="8"/>
      <c r="E641" s="9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>
      <c r="A642" s="8"/>
      <c r="B642" s="8"/>
      <c r="C642" s="8"/>
      <c r="D642" s="8"/>
      <c r="E642" s="9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>
      <c r="A643" s="8"/>
      <c r="B643" s="8"/>
      <c r="C643" s="8"/>
      <c r="D643" s="8"/>
      <c r="E643" s="9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>
      <c r="A644" s="8"/>
      <c r="B644" s="8"/>
      <c r="C644" s="8"/>
      <c r="D644" s="8"/>
      <c r="E644" s="9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>
      <c r="A645" s="8"/>
      <c r="B645" s="8"/>
      <c r="C645" s="8"/>
      <c r="D645" s="8"/>
      <c r="E645" s="9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>
      <c r="A646" s="8"/>
      <c r="B646" s="8"/>
      <c r="C646" s="8"/>
      <c r="D646" s="8"/>
      <c r="E646" s="9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>
      <c r="A647" s="8"/>
      <c r="B647" s="8"/>
      <c r="C647" s="8"/>
      <c r="D647" s="8"/>
      <c r="E647" s="9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>
      <c r="A648" s="8"/>
      <c r="B648" s="8"/>
      <c r="C648" s="8"/>
      <c r="D648" s="8"/>
      <c r="E648" s="9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>
      <c r="A649" s="8"/>
      <c r="B649" s="8"/>
      <c r="C649" s="8"/>
      <c r="D649" s="8"/>
      <c r="E649" s="9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>
      <c r="A650" s="8"/>
      <c r="B650" s="8"/>
      <c r="C650" s="8"/>
      <c r="D650" s="8"/>
      <c r="E650" s="9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>
      <c r="A651" s="8"/>
      <c r="B651" s="8"/>
      <c r="C651" s="8"/>
      <c r="D651" s="8"/>
      <c r="E651" s="9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>
      <c r="A652" s="8"/>
      <c r="B652" s="8"/>
      <c r="C652" s="8"/>
      <c r="D652" s="8"/>
      <c r="E652" s="9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>
      <c r="A653" s="8"/>
      <c r="B653" s="8"/>
      <c r="C653" s="8"/>
      <c r="D653" s="8"/>
      <c r="E653" s="9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>
      <c r="A654" s="8"/>
      <c r="B654" s="8"/>
      <c r="C654" s="8"/>
      <c r="D654" s="8"/>
      <c r="E654" s="9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>
      <c r="A655" s="8"/>
      <c r="B655" s="8"/>
      <c r="C655" s="8"/>
      <c r="D655" s="8"/>
      <c r="E655" s="9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>
      <c r="A656" s="8"/>
      <c r="B656" s="8"/>
      <c r="C656" s="8"/>
      <c r="D656" s="8"/>
      <c r="E656" s="9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>
      <c r="A657" s="8"/>
      <c r="B657" s="8"/>
      <c r="C657" s="8"/>
      <c r="D657" s="8"/>
      <c r="E657" s="9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>
      <c r="A658" s="8"/>
      <c r="B658" s="8"/>
      <c r="C658" s="8"/>
      <c r="D658" s="8"/>
      <c r="E658" s="9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>
      <c r="A659" s="8"/>
      <c r="B659" s="8"/>
      <c r="C659" s="8"/>
      <c r="D659" s="8"/>
      <c r="E659" s="9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>
      <c r="A660" s="8"/>
      <c r="B660" s="8"/>
      <c r="C660" s="8"/>
      <c r="D660" s="8"/>
      <c r="E660" s="9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>
      <c r="A661" s="8"/>
      <c r="B661" s="8"/>
      <c r="C661" s="8"/>
      <c r="D661" s="8"/>
      <c r="E661" s="9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>
      <c r="A662" s="8"/>
      <c r="B662" s="8"/>
      <c r="C662" s="8"/>
      <c r="D662" s="8"/>
      <c r="E662" s="9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>
      <c r="A663" s="8"/>
      <c r="B663" s="8"/>
      <c r="C663" s="8"/>
      <c r="D663" s="8"/>
      <c r="E663" s="9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>
      <c r="A664" s="8"/>
      <c r="B664" s="8"/>
      <c r="C664" s="8"/>
      <c r="D664" s="8"/>
      <c r="E664" s="9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>
      <c r="A665" s="8"/>
      <c r="B665" s="8"/>
      <c r="C665" s="8"/>
      <c r="D665" s="8"/>
      <c r="E665" s="9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>
      <c r="A666" s="8"/>
      <c r="B666" s="8"/>
      <c r="C666" s="8"/>
      <c r="D666" s="8"/>
      <c r="E666" s="9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>
      <c r="A667" s="8"/>
      <c r="B667" s="8"/>
      <c r="C667" s="8"/>
      <c r="D667" s="8"/>
      <c r="E667" s="9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>
      <c r="A668" s="8"/>
      <c r="B668" s="8"/>
      <c r="C668" s="8"/>
      <c r="D668" s="8"/>
      <c r="E668" s="9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>
      <c r="A669" s="8"/>
      <c r="B669" s="8"/>
      <c r="C669" s="8"/>
      <c r="D669" s="8"/>
      <c r="E669" s="9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>
      <c r="A670" s="8"/>
      <c r="B670" s="8"/>
      <c r="C670" s="8"/>
      <c r="D670" s="8"/>
      <c r="E670" s="9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>
      <c r="A671" s="8"/>
      <c r="B671" s="8"/>
      <c r="C671" s="8"/>
      <c r="D671" s="8"/>
      <c r="E671" s="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>
      <c r="A672" s="8"/>
      <c r="B672" s="8"/>
      <c r="C672" s="8"/>
      <c r="D672" s="8"/>
      <c r="E672" s="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>
      <c r="A673" s="8"/>
      <c r="B673" s="8"/>
      <c r="C673" s="8"/>
      <c r="D673" s="8"/>
      <c r="E673" s="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>
      <c r="A674" s="8"/>
      <c r="B674" s="8"/>
      <c r="C674" s="8"/>
      <c r="D674" s="8"/>
      <c r="E674" s="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>
      <c r="A675" s="8"/>
      <c r="B675" s="8"/>
      <c r="C675" s="8"/>
      <c r="D675" s="8"/>
      <c r="E675" s="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>
      <c r="A676" s="8"/>
      <c r="B676" s="8"/>
      <c r="C676" s="8"/>
      <c r="D676" s="8"/>
      <c r="E676" s="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>
      <c r="A677" s="8"/>
      <c r="B677" s="8"/>
      <c r="C677" s="8"/>
      <c r="D677" s="8"/>
      <c r="E677" s="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>
      <c r="A678" s="8"/>
      <c r="B678" s="8"/>
      <c r="C678" s="8"/>
      <c r="D678" s="8"/>
      <c r="E678" s="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>
      <c r="A679" s="8"/>
      <c r="B679" s="8"/>
      <c r="C679" s="8"/>
      <c r="D679" s="8"/>
      <c r="E679" s="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>
      <c r="A680" s="8"/>
      <c r="B680" s="8"/>
      <c r="C680" s="8"/>
      <c r="D680" s="8"/>
      <c r="E680" s="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>
      <c r="A681" s="8"/>
      <c r="B681" s="8"/>
      <c r="C681" s="8"/>
      <c r="D681" s="8"/>
      <c r="E681" s="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>
      <c r="A682" s="8"/>
      <c r="B682" s="8"/>
      <c r="C682" s="8"/>
      <c r="D682" s="8"/>
      <c r="E682" s="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>
      <c r="A683" s="8"/>
      <c r="B683" s="8"/>
      <c r="C683" s="8"/>
      <c r="D683" s="8"/>
      <c r="E683" s="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>
      <c r="A684" s="8"/>
      <c r="B684" s="8"/>
      <c r="C684" s="8"/>
      <c r="D684" s="8"/>
      <c r="E684" s="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>
      <c r="A685" s="8"/>
      <c r="B685" s="8"/>
      <c r="C685" s="8"/>
      <c r="D685" s="8"/>
      <c r="E685" s="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>
      <c r="A686" s="8"/>
      <c r="B686" s="8"/>
      <c r="C686" s="8"/>
      <c r="D686" s="8"/>
      <c r="E686" s="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>
      <c r="A687" s="8"/>
      <c r="B687" s="8"/>
      <c r="C687" s="8"/>
      <c r="D687" s="8"/>
      <c r="E687" s="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>
      <c r="A688" s="8"/>
      <c r="B688" s="8"/>
      <c r="C688" s="8"/>
      <c r="D688" s="8"/>
      <c r="E688" s="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>
      <c r="A689" s="8"/>
      <c r="B689" s="8"/>
      <c r="C689" s="8"/>
      <c r="D689" s="8"/>
      <c r="E689" s="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>
      <c r="A690" s="8"/>
      <c r="B690" s="8"/>
      <c r="C690" s="8"/>
      <c r="D690" s="8"/>
      <c r="E690" s="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>
      <c r="A691" s="8"/>
      <c r="B691" s="8"/>
      <c r="C691" s="8"/>
      <c r="D691" s="8"/>
      <c r="E691" s="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>
      <c r="A692" s="8"/>
      <c r="B692" s="8"/>
      <c r="C692" s="8"/>
      <c r="D692" s="8"/>
      <c r="E692" s="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>
      <c r="A693" s="8"/>
      <c r="B693" s="8"/>
      <c r="C693" s="8"/>
      <c r="D693" s="8"/>
      <c r="E693" s="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>
      <c r="A694" s="8"/>
      <c r="B694" s="8"/>
      <c r="C694" s="8"/>
      <c r="D694" s="8"/>
      <c r="E694" s="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>
      <c r="A695" s="8"/>
      <c r="B695" s="8"/>
      <c r="C695" s="8"/>
      <c r="D695" s="8"/>
      <c r="E695" s="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>
      <c r="A696" s="8"/>
      <c r="B696" s="8"/>
      <c r="C696" s="8"/>
      <c r="D696" s="8"/>
      <c r="E696" s="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>
      <c r="A697" s="8"/>
      <c r="B697" s="8"/>
      <c r="C697" s="8"/>
      <c r="D697" s="8"/>
      <c r="E697" s="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>
      <c r="A698" s="8"/>
      <c r="B698" s="8"/>
      <c r="C698" s="8"/>
      <c r="D698" s="8"/>
      <c r="E698" s="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>
      <c r="A699" s="8"/>
      <c r="B699" s="8"/>
      <c r="C699" s="8"/>
      <c r="D699" s="8"/>
      <c r="E699" s="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>
      <c r="A700" s="8"/>
      <c r="B700" s="8"/>
      <c r="C700" s="8"/>
      <c r="D700" s="8"/>
      <c r="E700" s="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>
      <c r="A701" s="8"/>
      <c r="B701" s="8"/>
      <c r="C701" s="8"/>
      <c r="D701" s="8"/>
      <c r="E701" s="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>
      <c r="A702" s="8"/>
      <c r="B702" s="8"/>
      <c r="C702" s="8"/>
      <c r="D702" s="8"/>
      <c r="E702" s="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>
      <c r="A703" s="8"/>
      <c r="B703" s="8"/>
      <c r="C703" s="8"/>
      <c r="D703" s="8"/>
      <c r="E703" s="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>
      <c r="A704" s="8"/>
      <c r="B704" s="8"/>
      <c r="C704" s="8"/>
      <c r="D704" s="8"/>
      <c r="E704" s="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>
      <c r="A705" s="8"/>
      <c r="B705" s="8"/>
      <c r="C705" s="8"/>
      <c r="D705" s="8"/>
      <c r="E705" s="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>
      <c r="A706" s="8"/>
      <c r="B706" s="8"/>
      <c r="C706" s="8"/>
      <c r="D706" s="8"/>
      <c r="E706" s="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>
      <c r="A707" s="8"/>
      <c r="B707" s="8"/>
      <c r="C707" s="8"/>
      <c r="D707" s="8"/>
      <c r="E707" s="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>
      <c r="A708" s="8"/>
      <c r="B708" s="8"/>
      <c r="C708" s="8"/>
      <c r="D708" s="8"/>
      <c r="E708" s="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>
      <c r="A709" s="8"/>
      <c r="B709" s="8"/>
      <c r="C709" s="8"/>
      <c r="D709" s="8"/>
      <c r="E709" s="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>
      <c r="A710" s="8"/>
      <c r="B710" s="8"/>
      <c r="C710" s="8"/>
      <c r="D710" s="8"/>
      <c r="E710" s="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>
      <c r="A711" s="8"/>
      <c r="B711" s="8"/>
      <c r="C711" s="8"/>
      <c r="D711" s="8"/>
      <c r="E711" s="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>
      <c r="A712" s="8"/>
      <c r="B712" s="8"/>
      <c r="C712" s="8"/>
      <c r="D712" s="8"/>
      <c r="E712" s="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>
      <c r="A713" s="8"/>
      <c r="B713" s="8"/>
      <c r="C713" s="8"/>
      <c r="D713" s="8"/>
      <c r="E713" s="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>
      <c r="A714" s="8"/>
      <c r="B714" s="8"/>
      <c r="C714" s="8"/>
      <c r="D714" s="8"/>
      <c r="E714" s="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>
      <c r="A715" s="8"/>
      <c r="B715" s="8"/>
      <c r="C715" s="8"/>
      <c r="D715" s="8"/>
      <c r="E715" s="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>
      <c r="A716" s="8"/>
      <c r="B716" s="8"/>
      <c r="C716" s="8"/>
      <c r="D716" s="8"/>
      <c r="E716" s="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>
      <c r="A717" s="8"/>
      <c r="B717" s="8"/>
      <c r="C717" s="8"/>
      <c r="D717" s="8"/>
      <c r="E717" s="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>
      <c r="A718" s="8"/>
      <c r="B718" s="8"/>
      <c r="C718" s="8"/>
      <c r="D718" s="8"/>
      <c r="E718" s="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>
      <c r="A719" s="8"/>
      <c r="B719" s="8"/>
      <c r="C719" s="8"/>
      <c r="D719" s="8"/>
      <c r="E719" s="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>
      <c r="A720" s="8"/>
      <c r="B720" s="8"/>
      <c r="C720" s="8"/>
      <c r="D720" s="8"/>
      <c r="E720" s="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>
      <c r="A721" s="8"/>
      <c r="B721" s="8"/>
      <c r="C721" s="8"/>
      <c r="D721" s="8"/>
      <c r="E721" s="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>
      <c r="A722" s="8"/>
      <c r="B722" s="8"/>
      <c r="C722" s="8"/>
      <c r="D722" s="8"/>
      <c r="E722" s="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>
      <c r="A723" s="8"/>
      <c r="B723" s="8"/>
      <c r="C723" s="8"/>
      <c r="D723" s="8"/>
      <c r="E723" s="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>
      <c r="A724" s="8"/>
      <c r="B724" s="8"/>
      <c r="C724" s="8"/>
      <c r="D724" s="8"/>
      <c r="E724" s="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>
      <c r="A725" s="8"/>
      <c r="B725" s="8"/>
      <c r="C725" s="8"/>
      <c r="D725" s="8"/>
      <c r="E725" s="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>
      <c r="A726" s="8"/>
      <c r="B726" s="8"/>
      <c r="C726" s="8"/>
      <c r="D726" s="8"/>
      <c r="E726" s="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>
      <c r="A727" s="8"/>
      <c r="B727" s="8"/>
      <c r="C727" s="8"/>
      <c r="D727" s="8"/>
      <c r="E727" s="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>
      <c r="A728" s="8"/>
      <c r="B728" s="8"/>
      <c r="C728" s="8"/>
      <c r="D728" s="8"/>
      <c r="E728" s="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>
      <c r="A729" s="8"/>
      <c r="B729" s="8"/>
      <c r="C729" s="8"/>
      <c r="D729" s="8"/>
      <c r="E729" s="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>
      <c r="A730" s="8"/>
      <c r="B730" s="8"/>
      <c r="C730" s="8"/>
      <c r="D730" s="8"/>
      <c r="E730" s="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>
      <c r="A731" s="8"/>
      <c r="B731" s="8"/>
      <c r="C731" s="8"/>
      <c r="D731" s="8"/>
      <c r="E731" s="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>
      <c r="A732" s="8"/>
      <c r="B732" s="8"/>
      <c r="C732" s="8"/>
      <c r="D732" s="8"/>
      <c r="E732" s="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>
      <c r="A733" s="8"/>
      <c r="B733" s="8"/>
      <c r="C733" s="8"/>
      <c r="D733" s="8"/>
      <c r="E733" s="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>
      <c r="A734" s="8"/>
      <c r="B734" s="8"/>
      <c r="C734" s="8"/>
      <c r="D734" s="8"/>
      <c r="E734" s="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>
      <c r="A735" s="8"/>
      <c r="B735" s="8"/>
      <c r="C735" s="8"/>
      <c r="D735" s="8"/>
      <c r="E735" s="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>
      <c r="A736" s="8"/>
      <c r="B736" s="8"/>
      <c r="C736" s="8"/>
      <c r="D736" s="8"/>
      <c r="E736" s="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>
      <c r="A737" s="8"/>
      <c r="B737" s="8"/>
      <c r="C737" s="8"/>
      <c r="D737" s="8"/>
      <c r="E737" s="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>
      <c r="A738" s="8"/>
      <c r="B738" s="8"/>
      <c r="C738" s="8"/>
      <c r="D738" s="8"/>
      <c r="E738" s="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>
      <c r="A739" s="8"/>
      <c r="B739" s="8"/>
      <c r="C739" s="8"/>
      <c r="D739" s="8"/>
      <c r="E739" s="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>
      <c r="A740" s="8"/>
      <c r="B740" s="8"/>
      <c r="C740" s="8"/>
      <c r="D740" s="8"/>
      <c r="E740" s="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>
      <c r="A741" s="8"/>
      <c r="B741" s="8"/>
      <c r="C741" s="8"/>
      <c r="D741" s="8"/>
      <c r="E741" s="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>
      <c r="A742" s="8"/>
      <c r="B742" s="8"/>
      <c r="C742" s="8"/>
      <c r="D742" s="8"/>
      <c r="E742" s="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>
      <c r="A743" s="8"/>
      <c r="B743" s="8"/>
      <c r="C743" s="8"/>
      <c r="D743" s="8"/>
      <c r="E743" s="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>
      <c r="A744" s="8"/>
      <c r="B744" s="8"/>
      <c r="C744" s="8"/>
      <c r="D744" s="8"/>
      <c r="E744" s="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>
      <c r="A745" s="8"/>
      <c r="B745" s="8"/>
      <c r="C745" s="8"/>
      <c r="D745" s="8"/>
      <c r="E745" s="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>
      <c r="A746" s="8"/>
      <c r="B746" s="8"/>
      <c r="C746" s="8"/>
      <c r="D746" s="8"/>
      <c r="E746" s="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>
      <c r="A747" s="8"/>
      <c r="B747" s="8"/>
      <c r="C747" s="8"/>
      <c r="D747" s="8"/>
      <c r="E747" s="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>
      <c r="A748" s="8"/>
      <c r="B748" s="8"/>
      <c r="C748" s="8"/>
      <c r="D748" s="8"/>
      <c r="E748" s="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>
      <c r="A749" s="8"/>
      <c r="B749" s="8"/>
      <c r="C749" s="8"/>
      <c r="D749" s="8"/>
      <c r="E749" s="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>
      <c r="A750" s="8"/>
      <c r="B750" s="8"/>
      <c r="C750" s="8"/>
      <c r="D750" s="8"/>
      <c r="E750" s="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>
      <c r="A751" s="8"/>
      <c r="B751" s="8"/>
      <c r="C751" s="8"/>
      <c r="D751" s="8"/>
      <c r="E751" s="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>
      <c r="A752" s="8"/>
      <c r="B752" s="8"/>
      <c r="C752" s="8"/>
      <c r="D752" s="8"/>
      <c r="E752" s="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>
      <c r="A753" s="8"/>
      <c r="B753" s="8"/>
      <c r="C753" s="8"/>
      <c r="D753" s="8"/>
      <c r="E753" s="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>
      <c r="A754" s="8"/>
      <c r="B754" s="8"/>
      <c r="C754" s="8"/>
      <c r="D754" s="8"/>
      <c r="E754" s="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>
      <c r="A755" s="8"/>
      <c r="B755" s="8"/>
      <c r="C755" s="8"/>
      <c r="D755" s="8"/>
      <c r="E755" s="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>
      <c r="A756" s="8"/>
      <c r="B756" s="8"/>
      <c r="C756" s="8"/>
      <c r="D756" s="8"/>
      <c r="E756" s="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>
      <c r="A757" s="8"/>
      <c r="B757" s="8"/>
      <c r="C757" s="8"/>
      <c r="D757" s="8"/>
      <c r="E757" s="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>
      <c r="A758" s="8"/>
      <c r="B758" s="8"/>
      <c r="C758" s="8"/>
      <c r="D758" s="8"/>
      <c r="E758" s="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>
      <c r="A759" s="8"/>
      <c r="B759" s="8"/>
      <c r="C759" s="8"/>
      <c r="D759" s="8"/>
      <c r="E759" s="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>
      <c r="A760" s="8"/>
      <c r="B760" s="8"/>
      <c r="C760" s="8"/>
      <c r="D760" s="8"/>
      <c r="E760" s="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>
      <c r="A761" s="8"/>
      <c r="B761" s="8"/>
      <c r="C761" s="8"/>
      <c r="D761" s="8"/>
      <c r="E761" s="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>
      <c r="A762" s="8"/>
      <c r="B762" s="8"/>
      <c r="C762" s="8"/>
      <c r="D762" s="8"/>
      <c r="E762" s="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>
      <c r="A763" s="8"/>
      <c r="B763" s="8"/>
      <c r="C763" s="8"/>
      <c r="D763" s="8"/>
      <c r="E763" s="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>
      <c r="A764" s="8"/>
      <c r="B764" s="8"/>
      <c r="C764" s="8"/>
      <c r="D764" s="8"/>
      <c r="E764" s="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>
      <c r="A765" s="8"/>
      <c r="B765" s="8"/>
      <c r="C765" s="8"/>
      <c r="D765" s="8"/>
      <c r="E765" s="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>
      <c r="A766" s="8"/>
      <c r="B766" s="8"/>
      <c r="C766" s="8"/>
      <c r="D766" s="8"/>
      <c r="E766" s="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>
      <c r="A767" s="8"/>
      <c r="B767" s="8"/>
      <c r="C767" s="8"/>
      <c r="D767" s="8"/>
      <c r="E767" s="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>
      <c r="A768" s="8"/>
      <c r="B768" s="8"/>
      <c r="C768" s="8"/>
      <c r="D768" s="8"/>
      <c r="E768" s="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>
      <c r="A769" s="8"/>
      <c r="B769" s="8"/>
      <c r="C769" s="8"/>
      <c r="D769" s="8"/>
      <c r="E769" s="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>
      <c r="A770" s="8"/>
      <c r="B770" s="8"/>
      <c r="C770" s="8"/>
      <c r="D770" s="8"/>
      <c r="E770" s="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>
      <c r="A771" s="8"/>
      <c r="B771" s="8"/>
      <c r="C771" s="8"/>
      <c r="D771" s="8"/>
      <c r="E771" s="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>
      <c r="A772" s="8"/>
      <c r="B772" s="8"/>
      <c r="C772" s="8"/>
      <c r="D772" s="8"/>
      <c r="E772" s="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>
      <c r="A773" s="8"/>
      <c r="B773" s="8"/>
      <c r="C773" s="8"/>
      <c r="D773" s="8"/>
      <c r="E773" s="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>
      <c r="A774" s="8"/>
      <c r="B774" s="8"/>
      <c r="C774" s="8"/>
      <c r="D774" s="8"/>
      <c r="E774" s="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>
      <c r="A775" s="8"/>
      <c r="B775" s="8"/>
      <c r="C775" s="8"/>
      <c r="D775" s="8"/>
      <c r="E775" s="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>
      <c r="A776" s="8"/>
      <c r="B776" s="8"/>
      <c r="C776" s="8"/>
      <c r="D776" s="8"/>
      <c r="E776" s="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>
      <c r="A777" s="8"/>
      <c r="B777" s="8"/>
      <c r="C777" s="8"/>
      <c r="D777" s="8"/>
      <c r="E777" s="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>
      <c r="A778" s="8"/>
      <c r="B778" s="8"/>
      <c r="C778" s="8"/>
      <c r="D778" s="8"/>
      <c r="E778" s="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>
      <c r="A779" s="8"/>
      <c r="B779" s="8"/>
      <c r="C779" s="8"/>
      <c r="D779" s="8"/>
      <c r="E779" s="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>
      <c r="A780" s="8"/>
      <c r="B780" s="8"/>
      <c r="C780" s="8"/>
      <c r="D780" s="8"/>
      <c r="E780" s="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>
      <c r="A781" s="8"/>
      <c r="B781" s="8"/>
      <c r="C781" s="8"/>
      <c r="D781" s="8"/>
      <c r="E781" s="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>
      <c r="A782" s="8"/>
      <c r="B782" s="8"/>
      <c r="C782" s="8"/>
      <c r="D782" s="8"/>
      <c r="E782" s="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>
      <c r="A783" s="8"/>
      <c r="B783" s="8"/>
      <c r="C783" s="8"/>
      <c r="D783" s="8"/>
      <c r="E783" s="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>
      <c r="A784" s="8"/>
      <c r="B784" s="8"/>
      <c r="C784" s="8"/>
      <c r="D784" s="8"/>
      <c r="E784" s="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>
      <c r="A785" s="8"/>
      <c r="B785" s="8"/>
      <c r="C785" s="8"/>
      <c r="D785" s="8"/>
      <c r="E785" s="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>
      <c r="A786" s="8"/>
      <c r="B786" s="8"/>
      <c r="C786" s="8"/>
      <c r="D786" s="8"/>
      <c r="E786" s="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>
      <c r="A787" s="8"/>
      <c r="B787" s="8"/>
      <c r="C787" s="8"/>
      <c r="D787" s="8"/>
      <c r="E787" s="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>
      <c r="A788" s="8"/>
      <c r="B788" s="8"/>
      <c r="C788" s="8"/>
      <c r="D788" s="8"/>
      <c r="E788" s="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>
      <c r="A789" s="8"/>
      <c r="B789" s="8"/>
      <c r="C789" s="8"/>
      <c r="D789" s="8"/>
      <c r="E789" s="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>
      <c r="A790" s="8"/>
      <c r="B790" s="8"/>
      <c r="C790" s="8"/>
      <c r="D790" s="8"/>
      <c r="E790" s="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>
      <c r="A791" s="8"/>
      <c r="B791" s="8"/>
      <c r="C791" s="8"/>
      <c r="D791" s="8"/>
      <c r="E791" s="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>
      <c r="A792" s="8"/>
      <c r="B792" s="8"/>
      <c r="C792" s="8"/>
      <c r="D792" s="8"/>
      <c r="E792" s="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>
      <c r="A793" s="8"/>
      <c r="B793" s="8"/>
      <c r="C793" s="8"/>
      <c r="D793" s="8"/>
      <c r="E793" s="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>
      <c r="A794" s="8"/>
      <c r="B794" s="8"/>
      <c r="C794" s="8"/>
      <c r="D794" s="8"/>
      <c r="E794" s="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>
      <c r="A795" s="8"/>
      <c r="B795" s="8"/>
      <c r="C795" s="8"/>
      <c r="D795" s="8"/>
      <c r="E795" s="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>
      <c r="A796" s="8"/>
      <c r="B796" s="8"/>
      <c r="C796" s="8"/>
      <c r="D796" s="8"/>
      <c r="E796" s="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>
      <c r="A797" s="8"/>
      <c r="B797" s="8"/>
      <c r="C797" s="8"/>
      <c r="D797" s="8"/>
      <c r="E797" s="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>
      <c r="A798" s="8"/>
      <c r="B798" s="8"/>
      <c r="C798" s="8"/>
      <c r="D798" s="8"/>
      <c r="E798" s="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>
      <c r="A799" s="8"/>
      <c r="B799" s="8"/>
      <c r="C799" s="8"/>
      <c r="D799" s="8"/>
      <c r="E799" s="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>
      <c r="A800" s="8"/>
      <c r="B800" s="8"/>
      <c r="C800" s="8"/>
      <c r="D800" s="8"/>
      <c r="E800" s="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>
      <c r="A801" s="8"/>
      <c r="B801" s="8"/>
      <c r="C801" s="8"/>
      <c r="D801" s="8"/>
      <c r="E801" s="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>
      <c r="A802" s="8"/>
      <c r="B802" s="8"/>
      <c r="C802" s="8"/>
      <c r="D802" s="8"/>
      <c r="E802" s="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>
      <c r="A803" s="8"/>
      <c r="B803" s="8"/>
      <c r="C803" s="8"/>
      <c r="D803" s="8"/>
      <c r="E803" s="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>
      <c r="A804" s="8"/>
      <c r="B804" s="8"/>
      <c r="C804" s="8"/>
      <c r="D804" s="8"/>
      <c r="E804" s="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>
      <c r="A805" s="8"/>
      <c r="B805" s="8"/>
      <c r="C805" s="8"/>
      <c r="D805" s="8"/>
      <c r="E805" s="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>
      <c r="A806" s="8"/>
      <c r="B806" s="8"/>
      <c r="C806" s="8"/>
      <c r="D806" s="8"/>
      <c r="E806" s="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>
      <c r="A807" s="8"/>
      <c r="B807" s="8"/>
      <c r="C807" s="8"/>
      <c r="D807" s="8"/>
      <c r="E807" s="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>
      <c r="A808" s="8"/>
      <c r="B808" s="8"/>
      <c r="C808" s="8"/>
      <c r="D808" s="8"/>
      <c r="E808" s="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>
      <c r="A809" s="8"/>
      <c r="B809" s="8"/>
      <c r="C809" s="8"/>
      <c r="D809" s="8"/>
      <c r="E809" s="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>
      <c r="A810" s="8"/>
      <c r="B810" s="8"/>
      <c r="C810" s="8"/>
      <c r="D810" s="8"/>
      <c r="E810" s="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>
      <c r="A811" s="8"/>
      <c r="B811" s="8"/>
      <c r="C811" s="8"/>
      <c r="D811" s="8"/>
      <c r="E811" s="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>
      <c r="A812" s="8"/>
      <c r="B812" s="8"/>
      <c r="C812" s="8"/>
      <c r="D812" s="8"/>
      <c r="E812" s="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>
      <c r="A813" s="8"/>
      <c r="B813" s="8"/>
      <c r="C813" s="8"/>
      <c r="D813" s="8"/>
      <c r="E813" s="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>
      <c r="A814" s="8"/>
      <c r="B814" s="8"/>
      <c r="C814" s="8"/>
      <c r="D814" s="8"/>
      <c r="E814" s="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>
      <c r="A815" s="8"/>
      <c r="B815" s="8"/>
      <c r="C815" s="8"/>
      <c r="D815" s="8"/>
      <c r="E815" s="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>
      <c r="A816" s="8"/>
      <c r="B816" s="8"/>
      <c r="C816" s="8"/>
      <c r="D816" s="8"/>
      <c r="E816" s="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>
      <c r="A817" s="8"/>
      <c r="B817" s="8"/>
      <c r="C817" s="8"/>
      <c r="D817" s="8"/>
      <c r="E817" s="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>
      <c r="A818" s="8"/>
      <c r="B818" s="8"/>
      <c r="C818" s="8"/>
      <c r="D818" s="8"/>
      <c r="E818" s="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>
      <c r="A819" s="8"/>
      <c r="B819" s="8"/>
      <c r="C819" s="8"/>
      <c r="D819" s="8"/>
      <c r="E819" s="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>
      <c r="A820" s="8"/>
      <c r="B820" s="8"/>
      <c r="C820" s="8"/>
      <c r="D820" s="8"/>
      <c r="E820" s="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>
      <c r="A821" s="8"/>
      <c r="B821" s="8"/>
      <c r="C821" s="8"/>
      <c r="D821" s="8"/>
      <c r="E821" s="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>
      <c r="A822" s="8"/>
      <c r="B822" s="8"/>
      <c r="C822" s="8"/>
      <c r="D822" s="8"/>
      <c r="E822" s="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>
      <c r="A823" s="8"/>
      <c r="B823" s="8"/>
      <c r="C823" s="8"/>
      <c r="D823" s="8"/>
      <c r="E823" s="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>
      <c r="A824" s="8"/>
      <c r="B824" s="8"/>
      <c r="C824" s="8"/>
      <c r="D824" s="8"/>
      <c r="E824" s="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>
      <c r="A825" s="8"/>
      <c r="B825" s="8"/>
      <c r="C825" s="8"/>
      <c r="D825" s="8"/>
      <c r="E825" s="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>
      <c r="A826" s="8"/>
      <c r="B826" s="8"/>
      <c r="C826" s="8"/>
      <c r="D826" s="8"/>
      <c r="E826" s="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>
      <c r="A827" s="8"/>
      <c r="B827" s="8"/>
      <c r="C827" s="8"/>
      <c r="D827" s="8"/>
      <c r="E827" s="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>
      <c r="A828" s="8"/>
      <c r="B828" s="8"/>
      <c r="C828" s="8"/>
      <c r="D828" s="8"/>
      <c r="E828" s="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>
      <c r="A829" s="8"/>
      <c r="B829" s="8"/>
      <c r="C829" s="8"/>
      <c r="D829" s="8"/>
      <c r="E829" s="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>
      <c r="A830" s="8"/>
      <c r="B830" s="8"/>
      <c r="C830" s="8"/>
      <c r="D830" s="8"/>
      <c r="E830" s="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>
      <c r="A831" s="8"/>
      <c r="B831" s="8"/>
      <c r="C831" s="8"/>
      <c r="D831" s="8"/>
      <c r="E831" s="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>
      <c r="A832" s="8"/>
      <c r="B832" s="8"/>
      <c r="C832" s="8"/>
      <c r="D832" s="8"/>
      <c r="E832" s="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>
      <c r="A833" s="8"/>
      <c r="B833" s="8"/>
      <c r="C833" s="8"/>
      <c r="D833" s="8"/>
      <c r="E833" s="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>
      <c r="A834" s="8"/>
      <c r="B834" s="8"/>
      <c r="C834" s="8"/>
      <c r="D834" s="8"/>
      <c r="E834" s="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>
      <c r="A835" s="8"/>
      <c r="B835" s="8"/>
      <c r="C835" s="8"/>
      <c r="D835" s="8"/>
      <c r="E835" s="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>
      <c r="A836" s="8"/>
      <c r="B836" s="8"/>
      <c r="C836" s="8"/>
      <c r="D836" s="8"/>
      <c r="E836" s="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>
      <c r="A837" s="8"/>
      <c r="B837" s="8"/>
      <c r="C837" s="8"/>
      <c r="D837" s="8"/>
      <c r="E837" s="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>
      <c r="A838" s="8"/>
      <c r="B838" s="8"/>
      <c r="C838" s="8"/>
      <c r="D838" s="8"/>
      <c r="E838" s="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>
      <c r="A839" s="8"/>
      <c r="B839" s="8"/>
      <c r="C839" s="8"/>
      <c r="D839" s="8"/>
      <c r="E839" s="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>
      <c r="A840" s="8"/>
      <c r="B840" s="8"/>
      <c r="C840" s="8"/>
      <c r="D840" s="8"/>
      <c r="E840" s="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>
      <c r="A841" s="8"/>
      <c r="B841" s="8"/>
      <c r="C841" s="8"/>
      <c r="D841" s="8"/>
      <c r="E841" s="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>
      <c r="A842" s="8"/>
      <c r="B842" s="8"/>
      <c r="C842" s="8"/>
      <c r="D842" s="8"/>
      <c r="E842" s="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>
      <c r="A843" s="8"/>
      <c r="B843" s="8"/>
      <c r="C843" s="8"/>
      <c r="D843" s="8"/>
      <c r="E843" s="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>
      <c r="A844" s="8"/>
      <c r="B844" s="8"/>
      <c r="C844" s="8"/>
      <c r="D844" s="8"/>
      <c r="E844" s="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>
      <c r="A845" s="8"/>
      <c r="B845" s="8"/>
      <c r="C845" s="8"/>
      <c r="D845" s="8"/>
      <c r="E845" s="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>
      <c r="A846" s="8"/>
      <c r="B846" s="8"/>
      <c r="C846" s="8"/>
      <c r="D846" s="8"/>
      <c r="E846" s="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>
      <c r="A847" s="8"/>
      <c r="B847" s="8"/>
      <c r="C847" s="8"/>
      <c r="D847" s="8"/>
      <c r="E847" s="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>
      <c r="A848" s="8"/>
      <c r="B848" s="8"/>
      <c r="C848" s="8"/>
      <c r="D848" s="8"/>
      <c r="E848" s="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>
      <c r="A849" s="8"/>
      <c r="B849" s="8"/>
      <c r="C849" s="8"/>
      <c r="D849" s="8"/>
      <c r="E849" s="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>
      <c r="A850" s="8"/>
      <c r="B850" s="8"/>
      <c r="C850" s="8"/>
      <c r="D850" s="8"/>
      <c r="E850" s="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>
      <c r="A851" s="8"/>
      <c r="B851" s="8"/>
      <c r="C851" s="8"/>
      <c r="D851" s="8"/>
      <c r="E851" s="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>
      <c r="A852" s="8"/>
      <c r="B852" s="8"/>
      <c r="C852" s="8"/>
      <c r="D852" s="8"/>
      <c r="E852" s="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>
      <c r="A853" s="8"/>
      <c r="B853" s="8"/>
      <c r="C853" s="8"/>
      <c r="D853" s="8"/>
      <c r="E853" s="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>
      <c r="A854" s="8"/>
      <c r="B854" s="8"/>
      <c r="C854" s="8"/>
      <c r="D854" s="8"/>
      <c r="E854" s="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>
      <c r="A855" s="8"/>
      <c r="B855" s="8"/>
      <c r="C855" s="8"/>
      <c r="D855" s="8"/>
      <c r="E855" s="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>
      <c r="A856" s="8"/>
      <c r="B856" s="8"/>
      <c r="C856" s="8"/>
      <c r="D856" s="8"/>
      <c r="E856" s="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>
      <c r="A857" s="8"/>
      <c r="B857" s="8"/>
      <c r="C857" s="8"/>
      <c r="D857" s="8"/>
      <c r="E857" s="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>
      <c r="A858" s="8"/>
      <c r="B858" s="8"/>
      <c r="C858" s="8"/>
      <c r="D858" s="8"/>
      <c r="E858" s="9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>
      <c r="A859" s="8"/>
      <c r="B859" s="8"/>
      <c r="C859" s="8"/>
      <c r="D859" s="8"/>
      <c r="E859" s="9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>
      <c r="A860" s="8"/>
      <c r="B860" s="8"/>
      <c r="C860" s="8"/>
      <c r="D860" s="8"/>
      <c r="E860" s="9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>
      <c r="A861" s="8"/>
      <c r="B861" s="8"/>
      <c r="C861" s="8"/>
      <c r="D861" s="8"/>
      <c r="E861" s="9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>
      <c r="A862" s="8"/>
      <c r="B862" s="8"/>
      <c r="C862" s="8"/>
      <c r="D862" s="8"/>
      <c r="E862" s="9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>
      <c r="A863" s="8"/>
      <c r="B863" s="8"/>
      <c r="C863" s="8"/>
      <c r="D863" s="8"/>
      <c r="E863" s="9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>
      <c r="A864" s="8"/>
      <c r="B864" s="8"/>
      <c r="C864" s="8"/>
      <c r="D864" s="8"/>
      <c r="E864" s="9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>
      <c r="A865" s="8"/>
      <c r="B865" s="8"/>
      <c r="C865" s="8"/>
      <c r="D865" s="8"/>
      <c r="E865" s="9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>
      <c r="A866" s="8"/>
      <c r="B866" s="8"/>
      <c r="C866" s="8"/>
      <c r="D866" s="8"/>
      <c r="E866" s="9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>
      <c r="A867" s="8"/>
      <c r="B867" s="8"/>
      <c r="C867" s="8"/>
      <c r="D867" s="8"/>
      <c r="E867" s="9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>
      <c r="A868" s="8"/>
      <c r="B868" s="8"/>
      <c r="C868" s="8"/>
      <c r="D868" s="8"/>
      <c r="E868" s="9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>
      <c r="A869" s="8"/>
      <c r="B869" s="8"/>
      <c r="C869" s="8"/>
      <c r="D869" s="8"/>
      <c r="E869" s="9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>
      <c r="A870" s="8"/>
      <c r="B870" s="8"/>
      <c r="C870" s="8"/>
      <c r="D870" s="8"/>
      <c r="E870" s="9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>
      <c r="A871" s="8"/>
      <c r="B871" s="8"/>
      <c r="C871" s="8"/>
      <c r="D871" s="8"/>
      <c r="E871" s="9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>
      <c r="A872" s="8"/>
      <c r="B872" s="8"/>
      <c r="C872" s="8"/>
      <c r="D872" s="8"/>
      <c r="E872" s="9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>
      <c r="A873" s="8"/>
      <c r="B873" s="8"/>
      <c r="C873" s="8"/>
      <c r="D873" s="8"/>
      <c r="E873" s="9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>
      <c r="A874" s="8"/>
      <c r="B874" s="8"/>
      <c r="C874" s="8"/>
      <c r="D874" s="8"/>
      <c r="E874" s="9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>
      <c r="A875" s="8"/>
      <c r="B875" s="8"/>
      <c r="C875" s="8"/>
      <c r="D875" s="8"/>
      <c r="E875" s="9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>
      <c r="A876" s="8"/>
      <c r="B876" s="8"/>
      <c r="C876" s="8"/>
      <c r="D876" s="8"/>
      <c r="E876" s="9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>
      <c r="A877" s="8"/>
      <c r="B877" s="8"/>
      <c r="C877" s="8"/>
      <c r="D877" s="8"/>
      <c r="E877" s="9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>
      <c r="A878" s="8"/>
      <c r="B878" s="8"/>
      <c r="C878" s="8"/>
      <c r="D878" s="8"/>
      <c r="E878" s="9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>
      <c r="A879" s="8"/>
      <c r="B879" s="8"/>
      <c r="C879" s="8"/>
      <c r="D879" s="8"/>
      <c r="E879" s="9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>
      <c r="A880" s="8"/>
      <c r="B880" s="8"/>
      <c r="C880" s="8"/>
      <c r="D880" s="8"/>
      <c r="E880" s="9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>
      <c r="A881" s="8"/>
      <c r="B881" s="8"/>
      <c r="C881" s="8"/>
      <c r="D881" s="8"/>
      <c r="E881" s="9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>
      <c r="A882" s="8"/>
      <c r="B882" s="8"/>
      <c r="C882" s="8"/>
      <c r="D882" s="8"/>
      <c r="E882" s="9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>
      <c r="A883" s="8"/>
      <c r="B883" s="8"/>
      <c r="C883" s="8"/>
      <c r="D883" s="8"/>
      <c r="E883" s="9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>
      <c r="A884" s="8"/>
      <c r="B884" s="8"/>
      <c r="C884" s="8"/>
      <c r="D884" s="8"/>
      <c r="E884" s="9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>
      <c r="A885" s="8"/>
      <c r="B885" s="8"/>
      <c r="C885" s="8"/>
      <c r="D885" s="8"/>
      <c r="E885" s="9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>
      <c r="A886" s="8"/>
      <c r="B886" s="8"/>
      <c r="C886" s="8"/>
      <c r="D886" s="8"/>
      <c r="E886" s="9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>
      <c r="A887" s="8"/>
      <c r="B887" s="8"/>
      <c r="C887" s="8"/>
      <c r="D887" s="8"/>
      <c r="E887" s="9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>
      <c r="A888" s="8"/>
      <c r="B888" s="8"/>
      <c r="C888" s="8"/>
      <c r="D888" s="8"/>
      <c r="E888" s="9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>
      <c r="A889" s="8"/>
      <c r="B889" s="8"/>
      <c r="C889" s="8"/>
      <c r="D889" s="8"/>
      <c r="E889" s="9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>
      <c r="A890" s="8"/>
      <c r="B890" s="8"/>
      <c r="C890" s="8"/>
      <c r="D890" s="8"/>
      <c r="E890" s="9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>
      <c r="A891" s="8"/>
      <c r="B891" s="8"/>
      <c r="C891" s="8"/>
      <c r="D891" s="8"/>
      <c r="E891" s="9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>
      <c r="A892" s="8"/>
      <c r="B892" s="8"/>
      <c r="C892" s="8"/>
      <c r="D892" s="8"/>
      <c r="E892" s="9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>
      <c r="A893" s="8"/>
      <c r="B893" s="8"/>
      <c r="C893" s="8"/>
      <c r="D893" s="8"/>
      <c r="E893" s="9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>
      <c r="A894" s="8"/>
      <c r="B894" s="8"/>
      <c r="C894" s="8"/>
      <c r="D894" s="8"/>
      <c r="E894" s="9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>
      <c r="A895" s="8"/>
      <c r="B895" s="8"/>
      <c r="C895" s="8"/>
      <c r="D895" s="8"/>
      <c r="E895" s="9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>
      <c r="A896" s="8"/>
      <c r="B896" s="8"/>
      <c r="C896" s="8"/>
      <c r="D896" s="8"/>
      <c r="E896" s="9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>
      <c r="A897" s="8"/>
      <c r="B897" s="8"/>
      <c r="C897" s="8"/>
      <c r="D897" s="8"/>
      <c r="E897" s="9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>
      <c r="A898" s="8"/>
      <c r="B898" s="8"/>
      <c r="C898" s="8"/>
      <c r="D898" s="8"/>
      <c r="E898" s="9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>
      <c r="A899" s="8"/>
      <c r="B899" s="8"/>
      <c r="C899" s="8"/>
      <c r="D899" s="8"/>
      <c r="E899" s="9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>
      <c r="A900" s="8"/>
      <c r="B900" s="8"/>
      <c r="C900" s="8"/>
      <c r="D900" s="8"/>
      <c r="E900" s="9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>
      <c r="A901" s="8"/>
      <c r="B901" s="8"/>
      <c r="C901" s="8"/>
      <c r="D901" s="8"/>
      <c r="E901" s="9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>
      <c r="A902" s="8"/>
      <c r="B902" s="8"/>
      <c r="C902" s="8"/>
      <c r="D902" s="8"/>
      <c r="E902" s="9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>
      <c r="A903" s="8"/>
      <c r="B903" s="8"/>
      <c r="C903" s="8"/>
      <c r="D903" s="8"/>
      <c r="E903" s="9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>
      <c r="A904" s="8"/>
      <c r="B904" s="8"/>
      <c r="C904" s="8"/>
      <c r="D904" s="8"/>
      <c r="E904" s="9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>
      <c r="A905" s="8"/>
      <c r="B905" s="8"/>
      <c r="C905" s="8"/>
      <c r="D905" s="8"/>
      <c r="E905" s="9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>
      <c r="A906" s="8"/>
      <c r="B906" s="8"/>
      <c r="C906" s="8"/>
      <c r="D906" s="8"/>
      <c r="E906" s="9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>
      <c r="A907" s="8"/>
      <c r="B907" s="8"/>
      <c r="C907" s="8"/>
      <c r="D907" s="8"/>
      <c r="E907" s="9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>
      <c r="A908" s="8"/>
      <c r="B908" s="8"/>
      <c r="C908" s="8"/>
      <c r="D908" s="8"/>
      <c r="E908" s="9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>
      <c r="A909" s="8"/>
      <c r="B909" s="8"/>
      <c r="C909" s="8"/>
      <c r="D909" s="8"/>
      <c r="E909" s="9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>
      <c r="A910" s="8"/>
      <c r="B910" s="8"/>
      <c r="C910" s="8"/>
      <c r="D910" s="8"/>
      <c r="E910" s="9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>
      <c r="A911" s="8"/>
      <c r="B911" s="8"/>
      <c r="C911" s="8"/>
      <c r="D911" s="8"/>
      <c r="E911" s="9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>
      <c r="A912" s="8"/>
      <c r="B912" s="8"/>
      <c r="C912" s="8"/>
      <c r="D912" s="8"/>
      <c r="E912" s="9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>
      <c r="A913" s="8"/>
      <c r="B913" s="8"/>
      <c r="C913" s="8"/>
      <c r="D913" s="8"/>
      <c r="E913" s="9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>
      <c r="A914" s="8"/>
      <c r="B914" s="8"/>
      <c r="C914" s="8"/>
      <c r="D914" s="8"/>
      <c r="E914" s="9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>
      <c r="A915" s="8"/>
      <c r="B915" s="8"/>
      <c r="C915" s="8"/>
      <c r="D915" s="8"/>
      <c r="E915" s="9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>
      <c r="A916" s="8"/>
      <c r="B916" s="8"/>
      <c r="C916" s="8"/>
      <c r="D916" s="8"/>
      <c r="E916" s="9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>
      <c r="A917" s="8"/>
      <c r="B917" s="8"/>
      <c r="C917" s="8"/>
      <c r="D917" s="8"/>
      <c r="E917" s="9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>
      <c r="A918" s="8"/>
      <c r="B918" s="8"/>
      <c r="C918" s="8"/>
      <c r="D918" s="8"/>
      <c r="E918" s="9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>
      <c r="A919" s="8"/>
      <c r="B919" s="8"/>
      <c r="C919" s="8"/>
      <c r="D919" s="8"/>
      <c r="E919" s="9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>
      <c r="A920" s="8"/>
      <c r="B920" s="8"/>
      <c r="C920" s="8"/>
      <c r="D920" s="8"/>
      <c r="E920" s="9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>
      <c r="A921" s="8"/>
      <c r="B921" s="8"/>
      <c r="C921" s="8"/>
      <c r="D921" s="8"/>
      <c r="E921" s="9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>
      <c r="A922" s="8"/>
      <c r="B922" s="8"/>
      <c r="C922" s="8"/>
      <c r="D922" s="8"/>
      <c r="E922" s="9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>
      <c r="A923" s="8"/>
      <c r="B923" s="8"/>
      <c r="C923" s="8"/>
      <c r="D923" s="8"/>
      <c r="E923" s="9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>
      <c r="A924" s="8"/>
      <c r="B924" s="8"/>
      <c r="C924" s="8"/>
      <c r="D924" s="8"/>
      <c r="E924" s="9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>
      <c r="A925" s="8"/>
      <c r="B925" s="8"/>
      <c r="C925" s="8"/>
      <c r="D925" s="8"/>
      <c r="E925" s="9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>
      <c r="A926" s="8"/>
      <c r="B926" s="8"/>
      <c r="C926" s="8"/>
      <c r="D926" s="8"/>
      <c r="E926" s="9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>
      <c r="A927" s="8"/>
      <c r="B927" s="8"/>
      <c r="C927" s="8"/>
      <c r="D927" s="8"/>
      <c r="E927" s="9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>
      <c r="A928" s="8"/>
      <c r="B928" s="8"/>
      <c r="C928" s="8"/>
      <c r="D928" s="8"/>
      <c r="E928" s="9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>
      <c r="A929" s="8"/>
      <c r="B929" s="8"/>
      <c r="C929" s="8"/>
      <c r="D929" s="8"/>
      <c r="E929" s="9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>
      <c r="A930" s="8"/>
      <c r="B930" s="8"/>
      <c r="C930" s="8"/>
      <c r="D930" s="8"/>
      <c r="E930" s="9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>
      <c r="A931" s="8"/>
      <c r="B931" s="8"/>
      <c r="C931" s="8"/>
      <c r="D931" s="8"/>
      <c r="E931" s="9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>
      <c r="A932" s="8"/>
      <c r="B932" s="8"/>
      <c r="C932" s="8"/>
      <c r="D932" s="8"/>
      <c r="E932" s="9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>
      <c r="A933" s="8"/>
      <c r="B933" s="8"/>
      <c r="C933" s="8"/>
      <c r="D933" s="8"/>
      <c r="E933" s="9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>
      <c r="A934" s="8"/>
      <c r="B934" s="8"/>
      <c r="C934" s="8"/>
      <c r="D934" s="8"/>
      <c r="E934" s="9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>
      <c r="A935" s="8"/>
      <c r="B935" s="8"/>
      <c r="C935" s="8"/>
      <c r="D935" s="8"/>
      <c r="E935" s="9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>
      <c r="A936" s="8"/>
      <c r="B936" s="8"/>
      <c r="C936" s="8"/>
      <c r="D936" s="8"/>
      <c r="E936" s="9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>
      <c r="A937" s="8"/>
      <c r="B937" s="8"/>
      <c r="C937" s="8"/>
      <c r="D937" s="8"/>
      <c r="E937" s="9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>
      <c r="A938" s="8"/>
      <c r="B938" s="8"/>
      <c r="C938" s="8"/>
      <c r="D938" s="8"/>
      <c r="E938" s="9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>
      <c r="A939" s="8"/>
      <c r="B939" s="8"/>
      <c r="C939" s="8"/>
      <c r="D939" s="8"/>
      <c r="E939" s="9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>
      <c r="A940" s="8"/>
      <c r="B940" s="8"/>
      <c r="C940" s="8"/>
      <c r="D940" s="8"/>
      <c r="E940" s="9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>
      <c r="A941" s="8"/>
      <c r="B941" s="8"/>
      <c r="C941" s="8"/>
      <c r="D941" s="8"/>
      <c r="E941" s="9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>
      <c r="A942" s="8"/>
      <c r="B942" s="8"/>
      <c r="C942" s="8"/>
      <c r="D942" s="8"/>
      <c r="E942" s="9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>
      <c r="A943" s="8"/>
      <c r="B943" s="8"/>
      <c r="C943" s="8"/>
      <c r="D943" s="8"/>
      <c r="E943" s="9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>
      <c r="A944" s="8"/>
      <c r="B944" s="8"/>
      <c r="C944" s="8"/>
      <c r="D944" s="8"/>
      <c r="E944" s="9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>
      <c r="A945" s="8"/>
      <c r="B945" s="8"/>
      <c r="C945" s="8"/>
      <c r="D945" s="8"/>
      <c r="E945" s="9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>
      <c r="A946" s="8"/>
      <c r="B946" s="8"/>
      <c r="C946" s="8"/>
      <c r="D946" s="8"/>
      <c r="E946" s="9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>
      <c r="A947" s="8"/>
      <c r="B947" s="8"/>
      <c r="C947" s="8"/>
      <c r="D947" s="8"/>
      <c r="E947" s="9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>
      <c r="A948" s="8"/>
      <c r="B948" s="8"/>
      <c r="C948" s="8"/>
      <c r="D948" s="8"/>
      <c r="E948" s="9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>
      <c r="A949" s="8"/>
      <c r="B949" s="8"/>
      <c r="C949" s="8"/>
      <c r="D949" s="8"/>
      <c r="E949" s="9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>
      <c r="A950" s="8"/>
      <c r="B950" s="8"/>
      <c r="C950" s="8"/>
      <c r="D950" s="8"/>
      <c r="E950" s="9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>
      <c r="A951" s="8"/>
      <c r="B951" s="8"/>
      <c r="C951" s="8"/>
      <c r="D951" s="8"/>
      <c r="E951" s="9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>
      <c r="A952" s="8"/>
      <c r="B952" s="8"/>
      <c r="C952" s="8"/>
      <c r="D952" s="8"/>
      <c r="E952" s="9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>
      <c r="A953" s="8"/>
      <c r="B953" s="8"/>
      <c r="C953" s="8"/>
      <c r="D953" s="8"/>
      <c r="E953" s="9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>
      <c r="A954" s="8"/>
      <c r="B954" s="8"/>
      <c r="C954" s="8"/>
      <c r="D954" s="8"/>
      <c r="E954" s="9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>
      <c r="A955" s="8"/>
      <c r="B955" s="8"/>
      <c r="C955" s="8"/>
      <c r="D955" s="8"/>
      <c r="E955" s="9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>
      <c r="A956" s="8"/>
      <c r="B956" s="8"/>
      <c r="C956" s="8"/>
      <c r="D956" s="8"/>
      <c r="E956" s="9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>
      <c r="A957" s="8"/>
      <c r="B957" s="8"/>
      <c r="C957" s="8"/>
      <c r="D957" s="8"/>
      <c r="E957" s="9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>
      <c r="A958" s="8"/>
      <c r="B958" s="8"/>
      <c r="C958" s="8"/>
      <c r="D958" s="8"/>
      <c r="E958" s="9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>
      <c r="A959" s="8"/>
      <c r="B959" s="8"/>
      <c r="C959" s="8"/>
      <c r="D959" s="8"/>
      <c r="E959" s="9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>
      <c r="A960" s="8"/>
      <c r="B960" s="8"/>
      <c r="C960" s="8"/>
      <c r="D960" s="8"/>
      <c r="E960" s="9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>
      <c r="A961" s="8"/>
      <c r="B961" s="8"/>
      <c r="C961" s="8"/>
      <c r="D961" s="8"/>
      <c r="E961" s="9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>
      <c r="A962" s="8"/>
      <c r="B962" s="8"/>
      <c r="C962" s="8"/>
      <c r="D962" s="8"/>
      <c r="E962" s="9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>
      <c r="A963" s="8"/>
      <c r="B963" s="8"/>
      <c r="C963" s="8"/>
      <c r="D963" s="8"/>
      <c r="E963" s="9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>
      <c r="A964" s="8"/>
      <c r="B964" s="8"/>
      <c r="C964" s="8"/>
      <c r="D964" s="8"/>
      <c r="E964" s="9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>
      <c r="A965" s="8"/>
      <c r="B965" s="8"/>
      <c r="C965" s="8"/>
      <c r="D965" s="8"/>
      <c r="E965" s="9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>
      <c r="A966" s="8"/>
      <c r="B966" s="8"/>
      <c r="C966" s="8"/>
      <c r="D966" s="8"/>
      <c r="E966" s="9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>
      <c r="A967" s="8"/>
      <c r="B967" s="8"/>
      <c r="C967" s="8"/>
      <c r="D967" s="8"/>
      <c r="E967" s="9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>
      <c r="A968" s="8"/>
      <c r="B968" s="8"/>
      <c r="C968" s="8"/>
      <c r="D968" s="8"/>
      <c r="E968" s="9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>
      <c r="A969" s="8"/>
      <c r="B969" s="8"/>
      <c r="C969" s="8"/>
      <c r="D969" s="8"/>
      <c r="E969" s="9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>
      <c r="A970" s="8"/>
      <c r="B970" s="8"/>
      <c r="C970" s="8"/>
      <c r="D970" s="8"/>
      <c r="E970" s="9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>
      <c r="A971" s="8"/>
      <c r="B971" s="8"/>
      <c r="C971" s="8"/>
      <c r="D971" s="8"/>
      <c r="E971" s="9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>
      <c r="A972" s="8"/>
      <c r="B972" s="8"/>
      <c r="C972" s="8"/>
      <c r="D972" s="8"/>
      <c r="E972" s="9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>
      <c r="A973" s="8"/>
      <c r="B973" s="8"/>
      <c r="C973" s="8"/>
      <c r="D973" s="8"/>
      <c r="E973" s="9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>
      <c r="A974" s="8"/>
      <c r="B974" s="8"/>
      <c r="C974" s="8"/>
      <c r="D974" s="8"/>
      <c r="E974" s="9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>
      <c r="A975" s="8"/>
      <c r="B975" s="8"/>
      <c r="C975" s="8"/>
      <c r="D975" s="8"/>
      <c r="E975" s="9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>
      <c r="A976" s="8"/>
      <c r="B976" s="8"/>
      <c r="C976" s="8"/>
      <c r="D976" s="8"/>
      <c r="E976" s="9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>
      <c r="A977" s="8"/>
      <c r="B977" s="8"/>
      <c r="C977" s="8"/>
      <c r="D977" s="8"/>
      <c r="E977" s="9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>
      <c r="A978" s="8"/>
      <c r="B978" s="8"/>
      <c r="C978" s="8"/>
      <c r="D978" s="8"/>
      <c r="E978" s="9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>
      <c r="A979" s="8"/>
      <c r="B979" s="8"/>
      <c r="C979" s="8"/>
      <c r="D979" s="8"/>
      <c r="E979" s="9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>
      <c r="A980" s="8"/>
      <c r="B980" s="8"/>
      <c r="C980" s="8"/>
      <c r="D980" s="8"/>
      <c r="E980" s="9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>
      <c r="A981" s="8"/>
      <c r="B981" s="8"/>
      <c r="C981" s="8"/>
      <c r="D981" s="8"/>
      <c r="E981" s="9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>
      <c r="A982" s="8"/>
      <c r="B982" s="8"/>
      <c r="C982" s="8"/>
      <c r="D982" s="8"/>
      <c r="E982" s="9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>
      <c r="A983" s="8"/>
      <c r="B983" s="8"/>
      <c r="C983" s="8"/>
      <c r="D983" s="8"/>
      <c r="E983" s="9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>
      <c r="A984" s="8"/>
      <c r="B984" s="8"/>
      <c r="C984" s="8"/>
      <c r="D984" s="8"/>
      <c r="E984" s="9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>
      <c r="A985" s="8"/>
      <c r="B985" s="8"/>
      <c r="C985" s="8"/>
      <c r="D985" s="8"/>
      <c r="E985" s="9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>
      <c r="A986" s="8"/>
      <c r="B986" s="8"/>
      <c r="C986" s="8"/>
      <c r="D986" s="8"/>
      <c r="E986" s="9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>
      <c r="A987" s="8"/>
      <c r="B987" s="8"/>
      <c r="C987" s="8"/>
      <c r="D987" s="8"/>
      <c r="E987" s="9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>
      <c r="A988" s="8"/>
      <c r="B988" s="8"/>
      <c r="C988" s="8"/>
      <c r="D988" s="8"/>
      <c r="E988" s="9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>
      <c r="A989" s="8"/>
      <c r="B989" s="8"/>
      <c r="C989" s="8"/>
      <c r="D989" s="8"/>
      <c r="E989" s="9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>
      <c r="A990" s="8"/>
      <c r="B990" s="8"/>
      <c r="C990" s="8"/>
      <c r="D990" s="8"/>
      <c r="E990" s="9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>
      <c r="A991" s="8"/>
      <c r="B991" s="8"/>
      <c r="C991" s="8"/>
      <c r="D991" s="8"/>
      <c r="E991" s="9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>
      <c r="A992" s="8"/>
      <c r="B992" s="8"/>
      <c r="C992" s="8"/>
      <c r="D992" s="8"/>
      <c r="E992" s="9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>
      <c r="A993" s="8"/>
      <c r="B993" s="8"/>
      <c r="C993" s="8"/>
      <c r="D993" s="8"/>
      <c r="E993" s="9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>
      <c r="A994" s="8"/>
      <c r="B994" s="8"/>
      <c r="C994" s="8"/>
      <c r="D994" s="8"/>
      <c r="E994" s="9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2.75">
      <c r="A995" s="8"/>
      <c r="B995" s="8"/>
      <c r="C995" s="8"/>
      <c r="D995" s="8"/>
      <c r="E995" s="9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2.75">
      <c r="A996" s="8"/>
      <c r="B996" s="8"/>
      <c r="C996" s="8"/>
      <c r="D996" s="8"/>
      <c r="E996" s="9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2.75">
      <c r="A997" s="8"/>
      <c r="B997" s="8"/>
      <c r="C997" s="8"/>
      <c r="D997" s="8"/>
      <c r="E997" s="9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2.75">
      <c r="A998" s="4"/>
      <c r="B998" s="4"/>
      <c r="C998" s="4"/>
      <c r="D998" s="4"/>
      <c r="E998" s="10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2.75">
      <c r="A999" s="4"/>
      <c r="B999" s="4"/>
      <c r="C999" s="4"/>
      <c r="D999" s="4"/>
      <c r="E999" s="10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2.75">
      <c r="A1000" s="4"/>
      <c r="B1000" s="4"/>
      <c r="C1000" s="4"/>
      <c r="D1000" s="4"/>
      <c r="E1000" s="10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autoFilter ref="A1:Y430" xr:uid="{00000000-0001-0000-0000-000000000000}"/>
  <dataValidations count="2">
    <dataValidation type="list" allowBlank="1" showErrorMessage="1" sqref="D2:D430" xr:uid="{00000000-0002-0000-0000-000000000000}">
      <formula1>"Não,Sim"</formula1>
    </dataValidation>
    <dataValidation type="list" allowBlank="1" showErrorMessage="1" sqref="B2:B430" xr:uid="{00000000-0002-0000-0000-000001000000}">
      <formula1>"Confirmado,Desativado,Pendente"</formula1>
    </dataValidation>
  </dataValidations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2" r:id="rId90" xr:uid="{00000000-0004-0000-0000-000059000000}"/>
    <hyperlink ref="E93" r:id="rId91" xr:uid="{00000000-0004-0000-0000-00005A000000}"/>
    <hyperlink ref="E94" r:id="rId92" xr:uid="{00000000-0004-0000-0000-00005B000000}"/>
    <hyperlink ref="E95" r:id="rId93" xr:uid="{00000000-0004-0000-0000-00005C000000}"/>
    <hyperlink ref="E96" r:id="rId94" xr:uid="{00000000-0004-0000-0000-00005D000000}"/>
    <hyperlink ref="E97" r:id="rId95" xr:uid="{00000000-0004-0000-0000-00005E000000}"/>
    <hyperlink ref="E98" r:id="rId96" xr:uid="{00000000-0004-0000-0000-00005F000000}"/>
    <hyperlink ref="E99" r:id="rId97" xr:uid="{00000000-0004-0000-0000-000060000000}"/>
    <hyperlink ref="E100" r:id="rId98" xr:uid="{00000000-0004-0000-0000-000061000000}"/>
    <hyperlink ref="E101" r:id="rId99" xr:uid="{00000000-0004-0000-0000-000062000000}"/>
    <hyperlink ref="E102" r:id="rId100" xr:uid="{00000000-0004-0000-0000-000063000000}"/>
    <hyperlink ref="E103" r:id="rId101" xr:uid="{00000000-0004-0000-0000-000064000000}"/>
    <hyperlink ref="E104" r:id="rId102" xr:uid="{00000000-0004-0000-0000-000065000000}"/>
    <hyperlink ref="E105" r:id="rId103" xr:uid="{00000000-0004-0000-0000-000066000000}"/>
    <hyperlink ref="E106" r:id="rId104" xr:uid="{00000000-0004-0000-0000-000067000000}"/>
    <hyperlink ref="E107" r:id="rId105" xr:uid="{00000000-0004-0000-0000-000068000000}"/>
    <hyperlink ref="E108" r:id="rId106" xr:uid="{00000000-0004-0000-0000-000069000000}"/>
    <hyperlink ref="E109" r:id="rId107" xr:uid="{00000000-0004-0000-0000-00006A000000}"/>
    <hyperlink ref="E110" r:id="rId108" xr:uid="{00000000-0004-0000-0000-00006B000000}"/>
    <hyperlink ref="E111" r:id="rId109" xr:uid="{00000000-0004-0000-0000-00006C000000}"/>
    <hyperlink ref="E112" r:id="rId110" xr:uid="{00000000-0004-0000-0000-00006D000000}"/>
    <hyperlink ref="E113" r:id="rId111" xr:uid="{00000000-0004-0000-0000-00006E000000}"/>
    <hyperlink ref="E114" r:id="rId112" xr:uid="{00000000-0004-0000-0000-00006F000000}"/>
    <hyperlink ref="E115" r:id="rId113" xr:uid="{00000000-0004-0000-0000-000070000000}"/>
    <hyperlink ref="E116" r:id="rId114" xr:uid="{00000000-0004-0000-0000-000071000000}"/>
    <hyperlink ref="E117" r:id="rId115" xr:uid="{00000000-0004-0000-0000-000072000000}"/>
    <hyperlink ref="E118" r:id="rId116" xr:uid="{00000000-0004-0000-0000-000073000000}"/>
    <hyperlink ref="E119" r:id="rId117" xr:uid="{00000000-0004-0000-0000-000074000000}"/>
    <hyperlink ref="E120" r:id="rId118" xr:uid="{00000000-0004-0000-0000-000075000000}"/>
    <hyperlink ref="E121" r:id="rId119" xr:uid="{00000000-0004-0000-0000-000076000000}"/>
    <hyperlink ref="E122" r:id="rId120" xr:uid="{00000000-0004-0000-0000-000077000000}"/>
    <hyperlink ref="E123" r:id="rId121" xr:uid="{00000000-0004-0000-0000-000078000000}"/>
    <hyperlink ref="E124" r:id="rId122" xr:uid="{00000000-0004-0000-0000-000079000000}"/>
    <hyperlink ref="E125" r:id="rId123" xr:uid="{00000000-0004-0000-0000-00007A000000}"/>
    <hyperlink ref="E126" r:id="rId124" xr:uid="{00000000-0004-0000-0000-00007B000000}"/>
    <hyperlink ref="E127" r:id="rId125" xr:uid="{00000000-0004-0000-0000-00007C000000}"/>
    <hyperlink ref="E128" r:id="rId126" xr:uid="{00000000-0004-0000-0000-00007D000000}"/>
    <hyperlink ref="E129" r:id="rId127" xr:uid="{00000000-0004-0000-0000-00007E000000}"/>
    <hyperlink ref="E130" r:id="rId128" xr:uid="{00000000-0004-0000-0000-00007F000000}"/>
    <hyperlink ref="E131" r:id="rId129" xr:uid="{00000000-0004-0000-0000-000080000000}"/>
    <hyperlink ref="E132" r:id="rId130" xr:uid="{00000000-0004-0000-0000-000081000000}"/>
    <hyperlink ref="E133" r:id="rId131" xr:uid="{00000000-0004-0000-0000-000082000000}"/>
    <hyperlink ref="E134" r:id="rId132" xr:uid="{00000000-0004-0000-0000-000083000000}"/>
    <hyperlink ref="E135" r:id="rId133" xr:uid="{00000000-0004-0000-0000-000084000000}"/>
    <hyperlink ref="E136" r:id="rId134" xr:uid="{00000000-0004-0000-0000-000085000000}"/>
    <hyperlink ref="E137" r:id="rId135" xr:uid="{00000000-0004-0000-0000-000086000000}"/>
    <hyperlink ref="E138" r:id="rId136" xr:uid="{00000000-0004-0000-0000-000087000000}"/>
    <hyperlink ref="E139" r:id="rId137" xr:uid="{00000000-0004-0000-0000-000088000000}"/>
    <hyperlink ref="E140" r:id="rId138" xr:uid="{00000000-0004-0000-0000-000089000000}"/>
    <hyperlink ref="E141" r:id="rId139" xr:uid="{00000000-0004-0000-0000-00008A000000}"/>
    <hyperlink ref="E142" r:id="rId140" xr:uid="{00000000-0004-0000-0000-00008B000000}"/>
    <hyperlink ref="E143" r:id="rId141" xr:uid="{00000000-0004-0000-0000-00008C000000}"/>
    <hyperlink ref="E144" r:id="rId142" xr:uid="{00000000-0004-0000-0000-00008D000000}"/>
    <hyperlink ref="E145" r:id="rId143" xr:uid="{00000000-0004-0000-0000-00008E000000}"/>
    <hyperlink ref="E146" r:id="rId144" xr:uid="{00000000-0004-0000-0000-00008F000000}"/>
    <hyperlink ref="E147" r:id="rId145" xr:uid="{00000000-0004-0000-0000-000090000000}"/>
    <hyperlink ref="E148" r:id="rId146" xr:uid="{00000000-0004-0000-0000-000091000000}"/>
    <hyperlink ref="E149" r:id="rId147" xr:uid="{00000000-0004-0000-0000-000092000000}"/>
    <hyperlink ref="E150" r:id="rId148" xr:uid="{00000000-0004-0000-0000-000093000000}"/>
    <hyperlink ref="E151" r:id="rId149" xr:uid="{00000000-0004-0000-0000-000094000000}"/>
    <hyperlink ref="E152" r:id="rId150" xr:uid="{00000000-0004-0000-0000-000095000000}"/>
    <hyperlink ref="E153" r:id="rId151" xr:uid="{00000000-0004-0000-0000-000096000000}"/>
    <hyperlink ref="E154" r:id="rId152" xr:uid="{00000000-0004-0000-0000-000097000000}"/>
    <hyperlink ref="E155" r:id="rId153" xr:uid="{00000000-0004-0000-0000-000098000000}"/>
    <hyperlink ref="E156" r:id="rId154" xr:uid="{00000000-0004-0000-0000-000099000000}"/>
    <hyperlink ref="E157" r:id="rId155" xr:uid="{00000000-0004-0000-0000-00009A000000}"/>
    <hyperlink ref="E158" r:id="rId156" xr:uid="{00000000-0004-0000-0000-00009B000000}"/>
    <hyperlink ref="E159" r:id="rId157" xr:uid="{00000000-0004-0000-0000-00009C000000}"/>
    <hyperlink ref="E160" r:id="rId158" xr:uid="{00000000-0004-0000-0000-00009D000000}"/>
    <hyperlink ref="E161" r:id="rId159" xr:uid="{00000000-0004-0000-0000-00009E000000}"/>
    <hyperlink ref="E162" r:id="rId160" xr:uid="{00000000-0004-0000-0000-00009F000000}"/>
    <hyperlink ref="E163" r:id="rId161" xr:uid="{00000000-0004-0000-0000-0000A0000000}"/>
    <hyperlink ref="E164" r:id="rId162" xr:uid="{00000000-0004-0000-0000-0000A1000000}"/>
    <hyperlink ref="E165" r:id="rId163" xr:uid="{00000000-0004-0000-0000-0000A2000000}"/>
    <hyperlink ref="E166" r:id="rId164" xr:uid="{00000000-0004-0000-0000-0000A3000000}"/>
    <hyperlink ref="E167" r:id="rId165" xr:uid="{00000000-0004-0000-0000-0000A4000000}"/>
    <hyperlink ref="E168" r:id="rId166" xr:uid="{00000000-0004-0000-0000-0000A5000000}"/>
    <hyperlink ref="E169" r:id="rId167" xr:uid="{00000000-0004-0000-0000-0000A6000000}"/>
    <hyperlink ref="E170" r:id="rId168" xr:uid="{00000000-0004-0000-0000-0000A7000000}"/>
    <hyperlink ref="E171" r:id="rId169" xr:uid="{00000000-0004-0000-0000-0000A8000000}"/>
    <hyperlink ref="E172" r:id="rId170" xr:uid="{00000000-0004-0000-0000-0000A9000000}"/>
    <hyperlink ref="E173" r:id="rId171" xr:uid="{00000000-0004-0000-0000-0000AA000000}"/>
    <hyperlink ref="E174" r:id="rId172" xr:uid="{00000000-0004-0000-0000-0000AB000000}"/>
    <hyperlink ref="E175" r:id="rId173" xr:uid="{00000000-0004-0000-0000-0000AC000000}"/>
    <hyperlink ref="E176" r:id="rId174" xr:uid="{00000000-0004-0000-0000-0000AD000000}"/>
    <hyperlink ref="E177" r:id="rId175" xr:uid="{00000000-0004-0000-0000-0000AE000000}"/>
    <hyperlink ref="E178" r:id="rId176" xr:uid="{00000000-0004-0000-0000-0000AF000000}"/>
    <hyperlink ref="E179" r:id="rId177" xr:uid="{00000000-0004-0000-0000-0000B0000000}"/>
    <hyperlink ref="E180" r:id="rId178" xr:uid="{00000000-0004-0000-0000-0000B1000000}"/>
    <hyperlink ref="E181" r:id="rId179" xr:uid="{00000000-0004-0000-0000-0000B2000000}"/>
    <hyperlink ref="E182" r:id="rId180" xr:uid="{00000000-0004-0000-0000-0000B3000000}"/>
    <hyperlink ref="E183" r:id="rId181" xr:uid="{00000000-0004-0000-0000-0000B4000000}"/>
    <hyperlink ref="E184" r:id="rId182" xr:uid="{00000000-0004-0000-0000-0000B5000000}"/>
    <hyperlink ref="E185" r:id="rId183" xr:uid="{00000000-0004-0000-0000-0000B6000000}"/>
    <hyperlink ref="E186" r:id="rId184" xr:uid="{00000000-0004-0000-0000-0000B7000000}"/>
    <hyperlink ref="E187" r:id="rId185" xr:uid="{00000000-0004-0000-0000-0000B8000000}"/>
    <hyperlink ref="E188" r:id="rId186" xr:uid="{00000000-0004-0000-0000-0000B9000000}"/>
    <hyperlink ref="E189" r:id="rId187" xr:uid="{00000000-0004-0000-0000-0000BA000000}"/>
    <hyperlink ref="E190" r:id="rId188" xr:uid="{00000000-0004-0000-0000-0000BB000000}"/>
    <hyperlink ref="E191" r:id="rId189" xr:uid="{00000000-0004-0000-0000-0000BC000000}"/>
    <hyperlink ref="E192" r:id="rId190" xr:uid="{00000000-0004-0000-0000-0000BD000000}"/>
    <hyperlink ref="E193" r:id="rId191" xr:uid="{00000000-0004-0000-0000-0000BE000000}"/>
    <hyperlink ref="E194" r:id="rId192" xr:uid="{00000000-0004-0000-0000-0000BF000000}"/>
    <hyperlink ref="E195" r:id="rId193" xr:uid="{00000000-0004-0000-0000-0000C0000000}"/>
    <hyperlink ref="E196" r:id="rId194" xr:uid="{00000000-0004-0000-0000-0000C1000000}"/>
    <hyperlink ref="E197" r:id="rId195" xr:uid="{00000000-0004-0000-0000-0000C2000000}"/>
    <hyperlink ref="E198" r:id="rId196" xr:uid="{00000000-0004-0000-0000-0000C3000000}"/>
    <hyperlink ref="E199" r:id="rId197" xr:uid="{00000000-0004-0000-0000-0000C4000000}"/>
    <hyperlink ref="E200" r:id="rId198" xr:uid="{00000000-0004-0000-0000-0000C5000000}"/>
    <hyperlink ref="E201" r:id="rId199" xr:uid="{00000000-0004-0000-0000-0000C6000000}"/>
    <hyperlink ref="E202" r:id="rId200" xr:uid="{00000000-0004-0000-0000-0000C7000000}"/>
    <hyperlink ref="E203" r:id="rId201" xr:uid="{00000000-0004-0000-0000-0000C8000000}"/>
    <hyperlink ref="E204" r:id="rId202" xr:uid="{00000000-0004-0000-0000-0000C9000000}"/>
    <hyperlink ref="E205" r:id="rId203" xr:uid="{00000000-0004-0000-0000-0000CA000000}"/>
    <hyperlink ref="E206" r:id="rId204" xr:uid="{00000000-0004-0000-0000-0000CB000000}"/>
    <hyperlink ref="E207" r:id="rId205" xr:uid="{00000000-0004-0000-0000-0000CC000000}"/>
    <hyperlink ref="E208" r:id="rId206" xr:uid="{00000000-0004-0000-0000-0000CD000000}"/>
    <hyperlink ref="E209" r:id="rId207" xr:uid="{00000000-0004-0000-0000-0000CE000000}"/>
    <hyperlink ref="E210" r:id="rId208" xr:uid="{00000000-0004-0000-0000-0000CF000000}"/>
    <hyperlink ref="E211" r:id="rId209" xr:uid="{00000000-0004-0000-0000-0000D0000000}"/>
    <hyperlink ref="E212" r:id="rId210" xr:uid="{00000000-0004-0000-0000-0000D1000000}"/>
    <hyperlink ref="E213" r:id="rId211" xr:uid="{00000000-0004-0000-0000-0000D2000000}"/>
    <hyperlink ref="E214" r:id="rId212" xr:uid="{00000000-0004-0000-0000-0000D3000000}"/>
    <hyperlink ref="E215" r:id="rId213" xr:uid="{00000000-0004-0000-0000-0000D4000000}"/>
    <hyperlink ref="E216" r:id="rId214" xr:uid="{00000000-0004-0000-0000-0000D5000000}"/>
    <hyperlink ref="E217" r:id="rId215" xr:uid="{00000000-0004-0000-0000-0000D6000000}"/>
    <hyperlink ref="E218" r:id="rId216" xr:uid="{00000000-0004-0000-0000-0000D7000000}"/>
    <hyperlink ref="E219" r:id="rId217" xr:uid="{00000000-0004-0000-0000-0000D8000000}"/>
    <hyperlink ref="E220" r:id="rId218" xr:uid="{00000000-0004-0000-0000-0000D9000000}"/>
    <hyperlink ref="E221" r:id="rId219" xr:uid="{00000000-0004-0000-0000-0000DA000000}"/>
    <hyperlink ref="E222" r:id="rId220" xr:uid="{00000000-0004-0000-0000-0000DB000000}"/>
    <hyperlink ref="E223" r:id="rId221" xr:uid="{00000000-0004-0000-0000-0000DC000000}"/>
    <hyperlink ref="E224" r:id="rId222" xr:uid="{00000000-0004-0000-0000-0000DD000000}"/>
    <hyperlink ref="E225" r:id="rId223" xr:uid="{00000000-0004-0000-0000-0000DE000000}"/>
    <hyperlink ref="E226" r:id="rId224" xr:uid="{00000000-0004-0000-0000-0000DF000000}"/>
    <hyperlink ref="E227" r:id="rId225" xr:uid="{00000000-0004-0000-0000-0000E0000000}"/>
    <hyperlink ref="E228" r:id="rId226" xr:uid="{00000000-0004-0000-0000-0000E1000000}"/>
    <hyperlink ref="E229" r:id="rId227" xr:uid="{00000000-0004-0000-0000-0000E2000000}"/>
    <hyperlink ref="E230" r:id="rId228" xr:uid="{00000000-0004-0000-0000-0000E3000000}"/>
    <hyperlink ref="E231" r:id="rId229" xr:uid="{00000000-0004-0000-0000-0000E4000000}"/>
    <hyperlink ref="E232" r:id="rId230" xr:uid="{00000000-0004-0000-0000-0000E5000000}"/>
    <hyperlink ref="E233" r:id="rId231" xr:uid="{00000000-0004-0000-0000-0000E6000000}"/>
    <hyperlink ref="E234" r:id="rId232" xr:uid="{00000000-0004-0000-0000-0000E7000000}"/>
    <hyperlink ref="E330" r:id="rId233" xr:uid="{00000000-0004-0000-0000-0000E8000000}"/>
    <hyperlink ref="E355" r:id="rId234" xr:uid="{E141E54F-6410-4D4E-915D-B379A87AAE78}"/>
    <hyperlink ref="E369" r:id="rId235" xr:uid="{D800BD39-ED81-4CAD-B22C-8D1F495DB3C9}"/>
    <hyperlink ref="E307" r:id="rId236" xr:uid="{EDEA7FC3-9D18-42EB-BD5E-0CAF8BD2D70E}"/>
    <hyperlink ref="E294" r:id="rId237" xr:uid="{E9E96073-99D5-40DD-8E67-85E350229D8D}"/>
    <hyperlink ref="E281" r:id="rId238" xr:uid="{0AB68643-0CF0-437D-950B-0CCA38217713}"/>
    <hyperlink ref="E240" r:id="rId239" xr:uid="{2EC40A64-FE17-45A1-85AD-D49A39E84F53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F80"/>
  <sheetViews>
    <sheetView workbookViewId="0"/>
  </sheetViews>
  <sheetFormatPr defaultColWidth="12.5703125" defaultRowHeight="15.75" customHeight="1"/>
  <cols>
    <col min="1" max="1" width="13.85546875" customWidth="1"/>
    <col min="2" max="2" width="16" customWidth="1"/>
    <col min="4" max="4" width="46.42578125" customWidth="1"/>
    <col min="5" max="5" width="35" customWidth="1"/>
    <col min="6" max="6" width="49.7109375" customWidth="1"/>
  </cols>
  <sheetData>
    <row r="1" spans="1:6" ht="25.5">
      <c r="A1" s="11" t="s">
        <v>373</v>
      </c>
      <c r="B1" s="12" t="s">
        <v>374</v>
      </c>
      <c r="C1" s="12" t="s">
        <v>375</v>
      </c>
      <c r="D1" s="12" t="s">
        <v>376</v>
      </c>
      <c r="E1" s="12" t="s">
        <v>377</v>
      </c>
      <c r="F1" s="12" t="s">
        <v>378</v>
      </c>
    </row>
    <row r="2" spans="1:6" ht="12.75">
      <c r="A2" s="13">
        <v>488851324</v>
      </c>
      <c r="B2" s="14" t="s">
        <v>379</v>
      </c>
      <c r="C2" s="15" t="str">
        <f t="array" aca="1" ref="C2" ca="1">IFERROR(_xludf.XLOOKUP(A2,Sheet1!A:A,Sheet1!B:B),"Não")</f>
        <v>Não</v>
      </c>
      <c r="D2" s="15" t="e">
        <f t="array" aca="1" ref="D2" ca="1">_xludf.XLOOKUP(A2,import!A:A,import!C:C)</f>
        <v>#NAME?</v>
      </c>
      <c r="E2" s="15" t="e">
        <f t="array" aca="1" ref="E2" ca="1">_xludf.XLOOKUP(A2,import!A:A,import!E:E)</f>
        <v>#NAME?</v>
      </c>
    </row>
    <row r="3" spans="1:6" ht="12.75">
      <c r="A3" s="13">
        <v>2490611911</v>
      </c>
      <c r="B3" s="14" t="s">
        <v>380</v>
      </c>
      <c r="C3" s="15" t="str">
        <f t="array" aca="1" ref="C3" ca="1">IFERROR(_xludf.XLOOKUP(A3,Sheet1!A:A,Sheet1!B:B),"Não")</f>
        <v>Não</v>
      </c>
      <c r="D3" s="16" t="e">
        <f t="array" aca="1" ref="D3" ca="1">_xludf.XLOOKUP(A3,import!A:A,import!C:C)</f>
        <v>#NAME?</v>
      </c>
      <c r="E3" s="15" t="e">
        <f t="array" aca="1" ref="E3" ca="1">_xludf.XLOOKUP(A3,import!A:A,import!E:E)</f>
        <v>#NAME?</v>
      </c>
      <c r="F3" s="17" t="s">
        <v>381</v>
      </c>
    </row>
    <row r="4" spans="1:6" ht="12.75">
      <c r="A4" s="13">
        <v>1477497679</v>
      </c>
      <c r="B4" s="14" t="s">
        <v>382</v>
      </c>
      <c r="C4" s="15" t="str">
        <f t="array" aca="1" ref="C4" ca="1">IFERROR(_xludf.XLOOKUP(A4,Sheet1!A:A,Sheet1!B:B),"Não")</f>
        <v>Não</v>
      </c>
      <c r="D4" s="16" t="e">
        <f t="array" aca="1" ref="D4" ca="1">_xludf.XLOOKUP(A4,import!A:A,import!C:C)</f>
        <v>#NAME?</v>
      </c>
      <c r="E4" s="15" t="e">
        <f t="array" aca="1" ref="E4" ca="1">_xludf.XLOOKUP(A4,import!A:A,import!E:E)</f>
        <v>#NAME?</v>
      </c>
      <c r="F4" s="17" t="s">
        <v>383</v>
      </c>
    </row>
    <row r="5" spans="1:6" ht="12.75">
      <c r="A5" s="13">
        <v>555414187</v>
      </c>
      <c r="B5" s="14" t="s">
        <v>384</v>
      </c>
      <c r="C5" s="15" t="str">
        <f t="array" aca="1" ref="C5" ca="1">IFERROR(_xludf.XLOOKUP(A5,Sheet1!A:A,Sheet1!B:B),"Não")</f>
        <v>Não</v>
      </c>
      <c r="D5" s="16" t="e">
        <f t="array" aca="1" ref="D5" ca="1">_xludf.XLOOKUP(A5,import!A:A,import!C:C)</f>
        <v>#NAME?</v>
      </c>
      <c r="E5" s="15" t="e">
        <f t="array" aca="1" ref="E5" ca="1">_xludf.XLOOKUP(A5,import!A:A,import!E:E)</f>
        <v>#NAME?</v>
      </c>
      <c r="F5" s="17" t="s">
        <v>385</v>
      </c>
    </row>
    <row r="6" spans="1:6" ht="12.75">
      <c r="A6" s="13">
        <v>1236298302</v>
      </c>
      <c r="B6" s="14" t="s">
        <v>386</v>
      </c>
      <c r="C6" s="15" t="str">
        <f t="array" aca="1" ref="C6" ca="1">IFERROR(_xludf.XLOOKUP(A6,Sheet1!A:A,Sheet1!B:B),"Não")</f>
        <v>Não</v>
      </c>
      <c r="D6" s="16" t="e">
        <f t="array" aca="1" ref="D6" ca="1">_xludf.XLOOKUP(A6,import!A:A,import!C:C)</f>
        <v>#NAME?</v>
      </c>
      <c r="E6" s="16" t="e">
        <f t="array" aca="1" ref="E6" ca="1">_xludf.XLOOKUP(A6,import!A:A,import!E:E)</f>
        <v>#NAME?</v>
      </c>
      <c r="F6" s="17" t="s">
        <v>387</v>
      </c>
    </row>
    <row r="7" spans="1:6" ht="12.75">
      <c r="A7" s="13">
        <v>1245410086</v>
      </c>
      <c r="B7" s="14" t="s">
        <v>388</v>
      </c>
      <c r="C7" s="15" t="str">
        <f t="array" aca="1" ref="C7" ca="1">IFERROR(_xludf.XLOOKUP(A7,Sheet1!A:A,Sheet1!B:B),"Não")</f>
        <v>Não</v>
      </c>
      <c r="D7" s="15" t="e">
        <f t="array" aca="1" ref="D7" ca="1">_xludf.XLOOKUP(A7,import!A:A,import!C:C)</f>
        <v>#NAME?</v>
      </c>
      <c r="E7" s="15" t="e">
        <f t="array" aca="1" ref="E7" ca="1">_xludf.XLOOKUP(A7,import!A:A,import!E:E)</f>
        <v>#NAME?</v>
      </c>
    </row>
    <row r="8" spans="1:6" ht="12.75">
      <c r="A8" s="13">
        <v>1231808348</v>
      </c>
      <c r="B8" s="14" t="s">
        <v>389</v>
      </c>
      <c r="C8" s="15" t="str">
        <f t="array" aca="1" ref="C8" ca="1">IFERROR(_xludf.XLOOKUP(A8,Sheet1!A:A,Sheet1!B:B),"Não")</f>
        <v>Não</v>
      </c>
      <c r="D8" s="16" t="e">
        <f t="array" aca="1" ref="D8" ca="1">_xludf.XLOOKUP(A8,import!A:A,import!C:C)</f>
        <v>#NAME?</v>
      </c>
      <c r="E8" s="16" t="e">
        <f t="array" aca="1" ref="E8" ca="1">_xludf.XLOOKUP(A8,import!A:A,import!E:E)</f>
        <v>#NAME?</v>
      </c>
      <c r="F8" s="17" t="s">
        <v>390</v>
      </c>
    </row>
    <row r="9" spans="1:6" ht="12.75">
      <c r="A9" s="13">
        <v>1406524799</v>
      </c>
      <c r="B9" s="14" t="s">
        <v>391</v>
      </c>
      <c r="C9" s="15" t="str">
        <f t="array" aca="1" ref="C9" ca="1">IFERROR(_xludf.XLOOKUP(A9,Sheet1!A:A,Sheet1!B:B),"Não")</f>
        <v>Não</v>
      </c>
      <c r="D9" s="15" t="e">
        <f t="array" aca="1" ref="D9" ca="1">_xludf.XLOOKUP(A9,import!A:A,import!C:C)</f>
        <v>#NAME?</v>
      </c>
      <c r="E9" s="15" t="e">
        <f t="array" aca="1" ref="E9" ca="1">_xludf.XLOOKUP(A9,import!A:A,import!E:E)</f>
        <v>#NAME?</v>
      </c>
    </row>
    <row r="10" spans="1:6" ht="12.75">
      <c r="A10" s="13">
        <v>1464475202</v>
      </c>
      <c r="B10" s="14" t="s">
        <v>392</v>
      </c>
      <c r="C10" s="15" t="str">
        <f t="array" aca="1" ref="C10" ca="1">IFERROR(_xludf.XLOOKUP(A10,Sheet1!A:A,Sheet1!B:B),"Não")</f>
        <v>Não</v>
      </c>
      <c r="D10" s="16" t="e">
        <f t="array" aca="1" ref="D10" ca="1">_xludf.XLOOKUP(A10,import!A:A,import!C:C)</f>
        <v>#NAME?</v>
      </c>
      <c r="E10" s="16" t="e">
        <f t="array" aca="1" ref="E10" ca="1">_xludf.XLOOKUP(A10,import!A:A,import!E:E)</f>
        <v>#NAME?</v>
      </c>
      <c r="F10" s="17" t="s">
        <v>393</v>
      </c>
    </row>
    <row r="11" spans="1:6" ht="12.75">
      <c r="A11" s="13">
        <v>1342859483</v>
      </c>
      <c r="B11" s="14" t="s">
        <v>394</v>
      </c>
      <c r="C11" s="15" t="str">
        <f t="array" aca="1" ref="C11" ca="1">IFERROR(_xludf.XLOOKUP(A11,Sheet1!A:A,Sheet1!B:B),"Não")</f>
        <v>Não</v>
      </c>
      <c r="D11" s="16" t="e">
        <f t="array" aca="1" ref="D11" ca="1">_xludf.XLOOKUP(A11,import!A:A,import!C:C)</f>
        <v>#NAME?</v>
      </c>
      <c r="E11" s="16" t="e">
        <f t="array" aca="1" ref="E11" ca="1">_xludf.XLOOKUP(A11,import!A:A,import!E:E)</f>
        <v>#NAME?</v>
      </c>
      <c r="F11" s="17" t="s">
        <v>395</v>
      </c>
    </row>
    <row r="12" spans="1:6" ht="12.75">
      <c r="A12" s="13">
        <v>1317961778</v>
      </c>
      <c r="B12" s="14" t="s">
        <v>396</v>
      </c>
      <c r="C12" s="15" t="str">
        <f t="array" aca="1" ref="C12" ca="1">IFERROR(_xludf.XLOOKUP(A12,Sheet1!A:A,Sheet1!B:B),"Não")</f>
        <v>Não</v>
      </c>
      <c r="D12" s="16" t="e">
        <f t="array" aca="1" ref="D12" ca="1">_xludf.XLOOKUP(A12,import!A:A,import!C:C)</f>
        <v>#NAME?</v>
      </c>
      <c r="E12" s="16" t="e">
        <f t="array" aca="1" ref="E12" ca="1">_xludf.XLOOKUP(A12,import!A:A,import!E:E)</f>
        <v>#NAME?</v>
      </c>
      <c r="F12" s="17" t="s">
        <v>397</v>
      </c>
    </row>
    <row r="13" spans="1:6" ht="12.75">
      <c r="A13" s="13">
        <v>1286635153</v>
      </c>
      <c r="B13" s="14" t="s">
        <v>398</v>
      </c>
      <c r="C13" s="15" t="str">
        <f t="array" aca="1" ref="C13" ca="1">IFERROR(_xludf.XLOOKUP(A13,Sheet1!A:A,Sheet1!B:B),"Não")</f>
        <v>Não</v>
      </c>
      <c r="D13" s="15" t="e">
        <f t="array" aca="1" ref="D13" ca="1">_xludf.XLOOKUP(A13,import!A:A,import!C:C)</f>
        <v>#NAME?</v>
      </c>
      <c r="E13" s="15" t="e">
        <f t="array" aca="1" ref="E13" ca="1">_xludf.XLOOKUP(A13,import!A:A,import!E:E)</f>
        <v>#NAME?</v>
      </c>
    </row>
    <row r="14" spans="1:6" ht="12.75">
      <c r="A14" s="13">
        <v>1445776663</v>
      </c>
      <c r="B14" s="14" t="s">
        <v>399</v>
      </c>
      <c r="C14" s="15" t="str">
        <f t="array" aca="1" ref="C14" ca="1">IFERROR(_xludf.XLOOKUP(A14,Sheet1!A:A,Sheet1!B:B),"Não")</f>
        <v>Não</v>
      </c>
      <c r="D14" s="16" t="e">
        <f t="array" aca="1" ref="D14" ca="1">_xludf.XLOOKUP(A14,import!A:A,import!C:C)</f>
        <v>#NAME?</v>
      </c>
      <c r="E14" s="15" t="e">
        <f t="array" aca="1" ref="E14" ca="1">_xludf.XLOOKUP(A14,import!A:A,import!E:E)</f>
        <v>#NAME?</v>
      </c>
      <c r="F14" s="17" t="s">
        <v>400</v>
      </c>
    </row>
    <row r="15" spans="1:6" ht="12.75">
      <c r="A15" s="13">
        <v>1211756872</v>
      </c>
      <c r="B15" s="14" t="s">
        <v>401</v>
      </c>
      <c r="C15" s="15" t="str">
        <f t="array" aca="1" ref="C15" ca="1">IFERROR(_xludf.XLOOKUP(A15,Sheet1!A:A,Sheet1!B:B),"Não")</f>
        <v>Não</v>
      </c>
      <c r="D15" s="16" t="e">
        <f t="array" aca="1" ref="D15" ca="1">_xludf.XLOOKUP(A15,import!A:A,import!C:C)</f>
        <v>#NAME?</v>
      </c>
      <c r="E15" s="16" t="e">
        <f t="array" aca="1" ref="E15" ca="1">_xludf.XLOOKUP(A15,import!A:A,import!E:E)</f>
        <v>#NAME?</v>
      </c>
      <c r="F15" s="17" t="s">
        <v>402</v>
      </c>
    </row>
    <row r="16" spans="1:6" ht="12.75">
      <c r="A16" s="13">
        <v>1207675246</v>
      </c>
      <c r="B16" s="14" t="s">
        <v>403</v>
      </c>
      <c r="C16" s="15" t="str">
        <f t="array" aca="1" ref="C16" ca="1">IFERROR(_xludf.XLOOKUP(A16,Sheet1!A:A,Sheet1!B:B),"Não")</f>
        <v>Não</v>
      </c>
      <c r="D16" s="16" t="e">
        <f t="array" aca="1" ref="D16" ca="1">_xludf.XLOOKUP(A16,import!A:A,import!C:C)</f>
        <v>#NAME?</v>
      </c>
      <c r="E16" s="16" t="e">
        <f t="array" aca="1" ref="E16" ca="1">_xludf.XLOOKUP(A16,import!A:A,import!E:E)</f>
        <v>#NAME?</v>
      </c>
      <c r="F16" s="17" t="s">
        <v>404</v>
      </c>
    </row>
    <row r="17" spans="1:6" ht="12.75">
      <c r="A17" s="13">
        <v>1422846329</v>
      </c>
      <c r="B17" s="14" t="s">
        <v>405</v>
      </c>
      <c r="C17" s="15" t="str">
        <f t="array" aca="1" ref="C17" ca="1">IFERROR(_xludf.XLOOKUP(A17,Sheet1!A:A,Sheet1!B:B),"Não")</f>
        <v>Não</v>
      </c>
      <c r="D17" s="16" t="e">
        <f t="array" aca="1" ref="D17" ca="1">_xludf.XLOOKUP(A17,import!A:A,import!C:C)</f>
        <v>#NAME?</v>
      </c>
      <c r="E17" s="16" t="e">
        <f t="array" aca="1" ref="E17" ca="1">_xludf.XLOOKUP(A17,import!A:A,import!E:E)</f>
        <v>#NAME?</v>
      </c>
      <c r="F17" s="17" t="s">
        <v>406</v>
      </c>
    </row>
    <row r="18" spans="1:6" ht="12.75">
      <c r="A18" s="13">
        <v>76331531</v>
      </c>
      <c r="B18" s="14" t="s">
        <v>407</v>
      </c>
      <c r="C18" s="15" t="str">
        <f t="array" aca="1" ref="C18" ca="1">IFERROR(_xludf.XLOOKUP(A18,Sheet1!A:A,Sheet1!B:B),"Não")</f>
        <v>Não</v>
      </c>
      <c r="D18" s="16" t="e">
        <f t="array" aca="1" ref="D18" ca="1">_xludf.XLOOKUP(A18,import!A:A,import!C:C)</f>
        <v>#NAME?</v>
      </c>
      <c r="E18" s="16" t="e">
        <f t="array" aca="1" ref="E18" ca="1">_xludf.XLOOKUP(A18,import!A:A,import!E:E)</f>
        <v>#NAME?</v>
      </c>
      <c r="F18" s="17" t="s">
        <v>408</v>
      </c>
    </row>
    <row r="19" spans="1:6" ht="12.75" hidden="1">
      <c r="A19" s="13">
        <v>1454842874</v>
      </c>
      <c r="B19" s="14" t="s">
        <v>409</v>
      </c>
      <c r="C19" s="15" t="str">
        <f t="array" aca="1" ref="C19" ca="1">IFERROR(_xludf.XLOOKUP(A19,Sheet1!A:A,Sheet1!B:B),"Não")</f>
        <v>Não</v>
      </c>
    </row>
    <row r="20" spans="1:6" ht="12.75" hidden="1">
      <c r="A20" s="13">
        <v>593029712</v>
      </c>
      <c r="B20" s="14" t="s">
        <v>410</v>
      </c>
      <c r="C20" s="15" t="str">
        <f t="array" aca="1" ref="C20" ca="1">IFERROR(_xludf.XLOOKUP(A20,Sheet1!A:A,Sheet1!B:B),"Não")</f>
        <v>Não</v>
      </c>
    </row>
    <row r="21" spans="1:6" ht="12.75" hidden="1">
      <c r="A21" s="13">
        <v>207302282</v>
      </c>
      <c r="B21" s="14" t="s">
        <v>411</v>
      </c>
      <c r="C21" s="15" t="str">
        <f t="array" aca="1" ref="C21" ca="1">IFERROR(_xludf.XLOOKUP(A21,Sheet1!A:A,Sheet1!B:B),"Não")</f>
        <v>Não</v>
      </c>
    </row>
    <row r="22" spans="1:6" ht="12.75">
      <c r="A22" s="13">
        <v>322502351</v>
      </c>
      <c r="B22" s="14" t="s">
        <v>412</v>
      </c>
      <c r="C22" s="15" t="str">
        <f t="array" aca="1" ref="C22" ca="1">IFERROR(_xludf.XLOOKUP(A22,Sheet1!A:A,Sheet1!B:B),"Não")</f>
        <v>Não</v>
      </c>
      <c r="D22" s="16" t="e">
        <f t="array" aca="1" ref="D22" ca="1">_xludf.XLOOKUP(A22,import!A:A,import!C:C)</f>
        <v>#NAME?</v>
      </c>
      <c r="E22" s="16" t="e">
        <f t="array" aca="1" ref="E22" ca="1">_xludf.XLOOKUP(A22,import!A:A,import!E:E)</f>
        <v>#NAME?</v>
      </c>
      <c r="F22" s="17" t="s">
        <v>413</v>
      </c>
    </row>
    <row r="23" spans="1:6" ht="12.75">
      <c r="A23" s="13">
        <v>1375138586</v>
      </c>
      <c r="B23" s="14" t="s">
        <v>414</v>
      </c>
      <c r="C23" s="15" t="str">
        <f t="array" aca="1" ref="C23" ca="1">IFERROR(_xludf.XLOOKUP(A23,Sheet1!A:A,Sheet1!B:B),"Não")</f>
        <v>Não</v>
      </c>
      <c r="D23" s="16" t="e">
        <f t="array" aca="1" ref="D23" ca="1">_xludf.XLOOKUP(A23,import!A:A,import!C:C)</f>
        <v>#NAME?</v>
      </c>
      <c r="E23" s="16" t="e">
        <f t="array" aca="1" ref="E23" ca="1">_xludf.XLOOKUP(A23,import!A:A,import!E:E)</f>
        <v>#NAME?</v>
      </c>
      <c r="F23" s="17" t="s">
        <v>415</v>
      </c>
    </row>
    <row r="24" spans="1:6" ht="12.75">
      <c r="A24" s="13">
        <v>1366151811</v>
      </c>
      <c r="B24" s="14" t="s">
        <v>416</v>
      </c>
      <c r="C24" s="15" t="str">
        <f t="array" aca="1" ref="C24" ca="1">IFERROR(_xludf.XLOOKUP(A24,Sheet1!A:A,Sheet1!B:B),"Não")</f>
        <v>Não</v>
      </c>
      <c r="D24" s="16" t="e">
        <f t="array" aca="1" ref="D24" ca="1">_xludf.XLOOKUP(A24,import!A:A,import!C:C)</f>
        <v>#NAME?</v>
      </c>
      <c r="E24" s="16" t="e">
        <f t="array" aca="1" ref="E24" ca="1">_xludf.XLOOKUP(A24,import!A:A,import!E:E)</f>
        <v>#NAME?</v>
      </c>
      <c r="F24" s="17" t="s">
        <v>417</v>
      </c>
    </row>
    <row r="25" spans="1:6" ht="12.75" hidden="1">
      <c r="A25" s="13">
        <v>1473563772</v>
      </c>
      <c r="B25" s="14" t="s">
        <v>418</v>
      </c>
      <c r="C25" s="15" t="str">
        <f t="array" aca="1" ref="C25" ca="1">IFERROR(_xludf.XLOOKUP(A25,Sheet1!A:A,Sheet1!B:B),"Não")</f>
        <v>Não</v>
      </c>
    </row>
    <row r="26" spans="1:6" ht="12.75">
      <c r="A26" s="13">
        <v>1249172900</v>
      </c>
      <c r="B26" s="14" t="s">
        <v>419</v>
      </c>
      <c r="C26" s="15" t="str">
        <f t="array" aca="1" ref="C26" ca="1">IFERROR(_xludf.XLOOKUP(A26,Sheet1!A:A,Sheet1!B:B),"Não")</f>
        <v>Não</v>
      </c>
      <c r="D26" s="16" t="e">
        <f t="array" aca="1" ref="D26" ca="1">_xludf.XLOOKUP(A26,import!A:A,import!C:C)</f>
        <v>#NAME?</v>
      </c>
      <c r="E26" s="16" t="e">
        <f t="array" aca="1" ref="E26" ca="1">_xludf.XLOOKUP(A26,import!A:A,import!E:E)</f>
        <v>#NAME?</v>
      </c>
      <c r="F26" s="17" t="s">
        <v>420</v>
      </c>
    </row>
    <row r="27" spans="1:6" ht="12.75">
      <c r="A27" s="13">
        <v>1478114661</v>
      </c>
      <c r="B27" s="14" t="s">
        <v>421</v>
      </c>
      <c r="C27" s="15" t="str">
        <f t="array" aca="1" ref="C27" ca="1">IFERROR(_xludf.XLOOKUP(A27,Sheet1!A:A,Sheet1!B:B),"Não")</f>
        <v>Não</v>
      </c>
      <c r="D27" s="16" t="e">
        <f t="array" aca="1" ref="D27" ca="1">_xludf.XLOOKUP(A27,import!A:A,import!C:C)</f>
        <v>#NAME?</v>
      </c>
      <c r="E27" s="15" t="e">
        <f t="array" aca="1" ref="E27" ca="1">_xludf.XLOOKUP(A27,import!A:A,import!E:E)</f>
        <v>#NAME?</v>
      </c>
      <c r="F27" s="15" t="s">
        <v>422</v>
      </c>
    </row>
    <row r="28" spans="1:6" ht="12.75">
      <c r="A28" s="13">
        <v>1231576803</v>
      </c>
      <c r="B28" s="14" t="s">
        <v>423</v>
      </c>
      <c r="C28" s="15" t="str">
        <f t="array" aca="1" ref="C28" ca="1">IFERROR(_xludf.XLOOKUP(A28,Sheet1!A:A,Sheet1!B:B),"Não")</f>
        <v>Não</v>
      </c>
      <c r="D28" s="16" t="e">
        <f t="array" aca="1" ref="D28" ca="1">_xludf.XLOOKUP(A28,import!A:A,import!C:C)</f>
        <v>#NAME?</v>
      </c>
      <c r="E28" s="16" t="e">
        <f t="array" aca="1" ref="E28" ca="1">_xludf.XLOOKUP(A28,import!A:A,import!E:E)</f>
        <v>#NAME?</v>
      </c>
      <c r="F28" s="17" t="s">
        <v>424</v>
      </c>
    </row>
    <row r="29" spans="1:6" ht="12.75" hidden="1">
      <c r="A29" s="13">
        <v>1450808630</v>
      </c>
      <c r="B29" s="14" t="s">
        <v>425</v>
      </c>
      <c r="C29" s="15" t="str">
        <f t="array" aca="1" ref="C29" ca="1">IFERROR(_xludf.XLOOKUP(A29,Sheet1!A:A,Sheet1!B:B),"Não")</f>
        <v>Não</v>
      </c>
    </row>
    <row r="30" spans="1:6" ht="12.75">
      <c r="A30" s="13">
        <v>1251879558</v>
      </c>
      <c r="B30" s="14" t="s">
        <v>426</v>
      </c>
      <c r="C30" s="15" t="str">
        <f t="array" aca="1" ref="C30" ca="1">IFERROR(_xludf.XLOOKUP(A30,Sheet1!A:A,Sheet1!B:B),"Não")</f>
        <v>Não</v>
      </c>
      <c r="D30" s="16" t="e">
        <f t="array" aca="1" ref="D30" ca="1">_xludf.XLOOKUP(A30,import!A:A,import!C:C)</f>
        <v>#NAME?</v>
      </c>
      <c r="E30" s="16" t="e">
        <f t="array" aca="1" ref="E30" ca="1">_xludf.XLOOKUP(A30,import!A:A,import!E:E)</f>
        <v>#NAME?</v>
      </c>
      <c r="F30" s="17" t="s">
        <v>427</v>
      </c>
    </row>
    <row r="31" spans="1:6" ht="12.75">
      <c r="A31" s="13">
        <v>2345017244</v>
      </c>
      <c r="B31" s="14" t="s">
        <v>428</v>
      </c>
      <c r="C31" s="15" t="str">
        <f t="array" aca="1" ref="C31" ca="1">IFERROR(_xludf.XLOOKUP(A31,Sheet1!A:A,Sheet1!B:B),"Não")</f>
        <v>Não</v>
      </c>
      <c r="D31" s="16" t="e">
        <f t="array" aca="1" ref="D31" ca="1">_xludf.XLOOKUP(A31,import!A:A,import!C:C)</f>
        <v>#NAME?</v>
      </c>
      <c r="E31" s="15" t="e">
        <f t="array" aca="1" ref="E31" ca="1">_xludf.XLOOKUP(A31,import!A:A,import!E:E)</f>
        <v>#NAME?</v>
      </c>
      <c r="F31" s="15" t="s">
        <v>422</v>
      </c>
    </row>
    <row r="32" spans="1:6" ht="12.75">
      <c r="A32" s="13">
        <v>1453452471</v>
      </c>
      <c r="B32" s="14" t="s">
        <v>429</v>
      </c>
      <c r="C32" s="15" t="str">
        <f t="array" aca="1" ref="C32" ca="1">IFERROR(_xludf.XLOOKUP(A32,Sheet1!A:A,Sheet1!B:B),"Não")</f>
        <v>Não</v>
      </c>
      <c r="D32" s="16" t="e">
        <f t="array" aca="1" ref="D32" ca="1">_xludf.XLOOKUP(A32,import!A:A,import!C:C)</f>
        <v>#NAME?</v>
      </c>
      <c r="E32" s="16" t="e">
        <f t="array" aca="1" ref="E32" ca="1">_xludf.XLOOKUP(A32,import!A:A,import!E:E)</f>
        <v>#NAME?</v>
      </c>
      <c r="F32" s="17" t="s">
        <v>430</v>
      </c>
    </row>
    <row r="33" spans="1:6" ht="12.75">
      <c r="A33" s="13">
        <v>1161200505</v>
      </c>
      <c r="B33" s="14" t="s">
        <v>431</v>
      </c>
      <c r="C33" s="15" t="str">
        <f t="array" aca="1" ref="C33" ca="1">IFERROR(_xludf.XLOOKUP(A33,Sheet1!A:A,Sheet1!B:B),"Não")</f>
        <v>Não</v>
      </c>
      <c r="D33" s="16" t="e">
        <f t="array" aca="1" ref="D33" ca="1">_xludf.XLOOKUP(A33,import!A:A,import!C:C)</f>
        <v>#NAME?</v>
      </c>
      <c r="E33" s="15" t="e">
        <f t="array" aca="1" ref="E33" ca="1">_xludf.XLOOKUP(A33,import!A:A,import!E:E)</f>
        <v>#NAME?</v>
      </c>
      <c r="F33" s="17" t="s">
        <v>432</v>
      </c>
    </row>
    <row r="34" spans="1:6" ht="12.75" hidden="1">
      <c r="A34" s="13">
        <v>1374758175</v>
      </c>
      <c r="B34" s="14" t="s">
        <v>433</v>
      </c>
      <c r="C34" s="15" t="str">
        <f t="array" aca="1" ref="C34" ca="1">IFERROR(_xludf.XLOOKUP(A34,Sheet1!A:A,Sheet1!B:B),"Não")</f>
        <v>Não</v>
      </c>
    </row>
    <row r="35" spans="1:6" ht="12.75">
      <c r="A35" s="13">
        <v>268850426</v>
      </c>
      <c r="B35" s="14" t="s">
        <v>434</v>
      </c>
      <c r="C35" s="15" t="str">
        <f t="array" aca="1" ref="C35" ca="1">IFERROR(_xludf.XLOOKUP(A35,Sheet1!A:A,Sheet1!B:B),"Não")</f>
        <v>Não</v>
      </c>
      <c r="D35" s="16" t="e">
        <f t="array" aca="1" ref="D35" ca="1">_xludf.XLOOKUP(A35,import!A:A,import!C:C)</f>
        <v>#NAME?</v>
      </c>
      <c r="E35" s="16" t="e">
        <f t="array" aca="1" ref="E35" ca="1">_xludf.XLOOKUP(A35,import!A:A,import!E:E)</f>
        <v>#NAME?</v>
      </c>
      <c r="F35" s="17" t="s">
        <v>435</v>
      </c>
    </row>
    <row r="36" spans="1:6" ht="12.75">
      <c r="A36" s="13">
        <v>1426808500</v>
      </c>
      <c r="B36" s="14" t="s">
        <v>436</v>
      </c>
      <c r="C36" s="15" t="str">
        <f t="array" aca="1" ref="C36" ca="1">IFERROR(_xludf.XLOOKUP(A36,Sheet1!A:A,Sheet1!B:B),"Não")</f>
        <v>Não</v>
      </c>
      <c r="D36" s="16" t="e">
        <f t="array" aca="1" ref="D36" ca="1">_xludf.XLOOKUP(A36,import!A:A,import!C:C)</f>
        <v>#NAME?</v>
      </c>
      <c r="E36" s="15" t="e">
        <f t="array" aca="1" ref="E36" ca="1">_xludf.XLOOKUP(A36,import!A:A,import!E:E)</f>
        <v>#NAME?</v>
      </c>
      <c r="F36" s="17" t="s">
        <v>437</v>
      </c>
    </row>
    <row r="37" spans="1:6" ht="12.75">
      <c r="A37" s="13">
        <v>1114585317</v>
      </c>
      <c r="B37" s="14" t="s">
        <v>438</v>
      </c>
      <c r="C37" s="15" t="str">
        <f t="array" aca="1" ref="C37" ca="1">IFERROR(_xludf.XLOOKUP(A37,Sheet1!A:A,Sheet1!B:B),"Não")</f>
        <v>Não</v>
      </c>
      <c r="D37" s="16" t="e">
        <f t="array" aca="1" ref="D37" ca="1">_xludf.XLOOKUP(A37,import!A:A,import!C:C)</f>
        <v>#NAME?</v>
      </c>
      <c r="E37" s="16" t="e">
        <f t="array" aca="1" ref="E37" ca="1">_xludf.XLOOKUP(A37,import!A:A,import!E:E)</f>
        <v>#NAME?</v>
      </c>
      <c r="F37" s="17" t="s">
        <v>439</v>
      </c>
    </row>
    <row r="38" spans="1:6" ht="12.75">
      <c r="A38" s="13">
        <v>1370750164</v>
      </c>
      <c r="B38" s="14" t="s">
        <v>440</v>
      </c>
      <c r="C38" s="15" t="str">
        <f t="array" aca="1" ref="C38" ca="1">IFERROR(_xludf.XLOOKUP(A38,Sheet1!A:A,Sheet1!B:B),"Não")</f>
        <v>Não</v>
      </c>
      <c r="D38" s="15" t="e">
        <f t="array" aca="1" ref="D38" ca="1">_xludf.XLOOKUP(A38,import!A:A,import!C:C)</f>
        <v>#NAME?</v>
      </c>
      <c r="E38" s="15" t="e">
        <f t="array" aca="1" ref="E38" ca="1">_xludf.XLOOKUP(A38,import!A:A,import!E:E)</f>
        <v>#NAME?</v>
      </c>
      <c r="F38" s="17" t="s">
        <v>441</v>
      </c>
    </row>
    <row r="39" spans="1:6" ht="12.75">
      <c r="A39" s="13">
        <v>251645009</v>
      </c>
      <c r="B39" s="14" t="s">
        <v>442</v>
      </c>
      <c r="C39" s="15" t="str">
        <f t="array" aca="1" ref="C39" ca="1">IFERROR(_xludf.XLOOKUP(A39,Sheet1!A:A,Sheet1!B:B),"Não")</f>
        <v>Não</v>
      </c>
      <c r="D39" s="16" t="e">
        <f t="array" aca="1" ref="D39" ca="1">_xludf.XLOOKUP(A39,import!A:A,import!C:C)</f>
        <v>#NAME?</v>
      </c>
      <c r="E39" s="15" t="e">
        <f t="array" aca="1" ref="E39" ca="1">_xludf.XLOOKUP(A39,import!A:A,import!E:E)</f>
        <v>#NAME?</v>
      </c>
      <c r="F39" s="17" t="s">
        <v>443</v>
      </c>
    </row>
    <row r="40" spans="1:6" ht="12.75">
      <c r="A40" s="13">
        <v>263391604</v>
      </c>
      <c r="B40" s="14" t="s">
        <v>444</v>
      </c>
      <c r="C40" s="15" t="str">
        <f t="array" aca="1" ref="C40" ca="1">IFERROR(_xludf.XLOOKUP(A40,Sheet1!A:A,Sheet1!B:B),"Não")</f>
        <v>Não</v>
      </c>
      <c r="D40" s="16" t="e">
        <f t="array" aca="1" ref="D40" ca="1">_xludf.XLOOKUP(A40,import!A:A,import!C:C)</f>
        <v>#NAME?</v>
      </c>
      <c r="E40" s="15" t="e">
        <f t="array" aca="1" ref="E40" ca="1">_xludf.XLOOKUP(A40,import!A:A,import!E:E)</f>
        <v>#NAME?</v>
      </c>
      <c r="F40" s="17" t="s">
        <v>445</v>
      </c>
    </row>
    <row r="41" spans="1:6" ht="12.75">
      <c r="A41" s="13">
        <v>1469910364</v>
      </c>
      <c r="B41" s="14" t="s">
        <v>446</v>
      </c>
      <c r="C41" s="15" t="str">
        <f t="array" aca="1" ref="C41" ca="1">IFERROR(_xludf.XLOOKUP(A41,Sheet1!A:A,Sheet1!B:B),"Não")</f>
        <v>Não</v>
      </c>
      <c r="D41" s="16" t="e">
        <f t="array" aca="1" ref="D41" ca="1">_xludf.XLOOKUP(A41,import!A:A,import!C:C)</f>
        <v>#NAME?</v>
      </c>
      <c r="E41" s="16" t="e">
        <f t="array" aca="1" ref="E41" ca="1">_xludf.XLOOKUP(A41,import!A:A,import!E:E)</f>
        <v>#NAME?</v>
      </c>
      <c r="F41" s="15" t="s">
        <v>422</v>
      </c>
    </row>
    <row r="42" spans="1:6" ht="12.75">
      <c r="A42" s="13">
        <v>199199140</v>
      </c>
      <c r="B42" s="14" t="s">
        <v>447</v>
      </c>
      <c r="C42" s="15" t="str">
        <f t="array" aca="1" ref="C42" ca="1">IFERROR(_xludf.XLOOKUP(A42,Sheet1!A:A,Sheet1!B:B),"Não")</f>
        <v>Não</v>
      </c>
      <c r="D42" s="16" t="e">
        <f t="array" aca="1" ref="D42" ca="1">_xludf.XLOOKUP(A42,import!A:A,import!C:C)</f>
        <v>#NAME?</v>
      </c>
      <c r="E42" s="16" t="e">
        <f t="array" aca="1" ref="E42" ca="1">_xludf.XLOOKUP(A42,import!A:A,import!E:E)</f>
        <v>#NAME?</v>
      </c>
      <c r="F42" s="17" t="s">
        <v>448</v>
      </c>
    </row>
    <row r="43" spans="1:6" ht="12.75">
      <c r="A43" s="13">
        <v>1461583629</v>
      </c>
      <c r="B43" s="14" t="s">
        <v>449</v>
      </c>
      <c r="C43" s="15" t="str">
        <f t="array" aca="1" ref="C43" ca="1">IFERROR(_xludf.XLOOKUP(A43,Sheet1!A:A,Sheet1!B:B),"Não")</f>
        <v>Não</v>
      </c>
      <c r="D43" s="16" t="e">
        <f t="array" aca="1" ref="D43" ca="1">_xludf.XLOOKUP(A43,import!A:A,import!C:C)</f>
        <v>#NAME?</v>
      </c>
      <c r="E43" s="16" t="e">
        <f t="array" aca="1" ref="E43" ca="1">_xludf.XLOOKUP(A43,import!A:A,import!E:E)</f>
        <v>#NAME?</v>
      </c>
      <c r="F43" s="17" t="s">
        <v>450</v>
      </c>
    </row>
    <row r="44" spans="1:6" ht="12.75">
      <c r="A44" s="13">
        <v>1159690723</v>
      </c>
      <c r="B44" s="14" t="s">
        <v>451</v>
      </c>
      <c r="C44" s="15" t="str">
        <f t="array" aca="1" ref="C44" ca="1">IFERROR(_xludf.XLOOKUP(A44,Sheet1!A:A,Sheet1!B:B),"Não")</f>
        <v>Não</v>
      </c>
      <c r="D44" s="15" t="e">
        <f t="array" aca="1" ref="D44" ca="1">_xludf.XLOOKUP(A44,import!A:A,import!C:C)</f>
        <v>#NAME?</v>
      </c>
      <c r="E44" s="15" t="e">
        <f t="array" aca="1" ref="E44" ca="1">_xludf.XLOOKUP(A44,import!A:A,import!E:E)</f>
        <v>#NAME?</v>
      </c>
    </row>
    <row r="45" spans="1:6" ht="12.75">
      <c r="A45" s="13">
        <v>1387667693</v>
      </c>
      <c r="B45" s="14" t="s">
        <v>452</v>
      </c>
      <c r="C45" s="15" t="str">
        <f t="array" aca="1" ref="C45" ca="1">IFERROR(_xludf.XLOOKUP(A45,Sheet1!A:A,Sheet1!B:B),"Não")</f>
        <v>Não</v>
      </c>
      <c r="D45" s="16" t="e">
        <f t="array" aca="1" ref="D45" ca="1">_xludf.XLOOKUP(A45,import!A:A,import!C:C)</f>
        <v>#NAME?</v>
      </c>
      <c r="E45" s="16" t="e">
        <f t="array" aca="1" ref="E45" ca="1">_xludf.XLOOKUP(A45,import!A:A,import!E:E)</f>
        <v>#NAME?</v>
      </c>
      <c r="F45" s="17" t="s">
        <v>453</v>
      </c>
    </row>
    <row r="46" spans="1:6" ht="12.75" hidden="1">
      <c r="A46" s="13">
        <v>2389628095</v>
      </c>
      <c r="B46" s="14" t="s">
        <v>454</v>
      </c>
      <c r="C46" s="15" t="str">
        <f t="array" aca="1" ref="C46" ca="1">IFERROR(_xludf.XLOOKUP(A46,Sheet1!A:A,Sheet1!B:B),"Não")</f>
        <v>Não</v>
      </c>
    </row>
    <row r="47" spans="1:6" ht="12.75">
      <c r="A47" s="13">
        <v>1424070748</v>
      </c>
      <c r="B47" s="14" t="s">
        <v>455</v>
      </c>
      <c r="C47" s="15" t="str">
        <f t="array" aca="1" ref="C47" ca="1">IFERROR(_xludf.XLOOKUP(A47,Sheet1!A:A,Sheet1!B:B),"Não")</f>
        <v>Não</v>
      </c>
      <c r="D47" s="16" t="e">
        <f t="array" aca="1" ref="D47" ca="1">_xludf.XLOOKUP(A47,import!A:A,import!C:C)</f>
        <v>#NAME?</v>
      </c>
      <c r="E47" s="15" t="e">
        <f t="array" aca="1" ref="E47" ca="1">_xludf.XLOOKUP(A47,import!A:A,import!E:E)</f>
        <v>#NAME?</v>
      </c>
      <c r="F47" s="17" t="s">
        <v>456</v>
      </c>
    </row>
    <row r="48" spans="1:6" ht="12.75">
      <c r="A48" s="13">
        <v>15665498</v>
      </c>
      <c r="B48" s="14" t="s">
        <v>457</v>
      </c>
      <c r="C48" s="15" t="str">
        <f t="array" aca="1" ref="C48" ca="1">IFERROR(_xludf.XLOOKUP(A48,Sheet1!A:A,Sheet1!B:B),"Não")</f>
        <v>Não</v>
      </c>
      <c r="D48" s="16" t="e">
        <f t="array" aca="1" ref="D48" ca="1">_xludf.XLOOKUP(A48,import!A:A,import!C:C)</f>
        <v>#NAME?</v>
      </c>
      <c r="E48" s="16" t="e">
        <f t="array" aca="1" ref="E48" ca="1">_xludf.XLOOKUP(A48,import!A:A,import!E:E)</f>
        <v>#NAME?</v>
      </c>
      <c r="F48" s="17" t="s">
        <v>458</v>
      </c>
    </row>
    <row r="49" spans="1:6" ht="12.75" hidden="1">
      <c r="A49" s="13">
        <v>521028663</v>
      </c>
      <c r="B49" s="14" t="s">
        <v>459</v>
      </c>
      <c r="C49" s="15" t="str">
        <f t="array" aca="1" ref="C49" ca="1">IFERROR(_xludf.XLOOKUP(A49,Sheet1!A:A,Sheet1!B:B),"Não")</f>
        <v>Não</v>
      </c>
    </row>
    <row r="50" spans="1:6" ht="12.75" hidden="1">
      <c r="A50" s="13">
        <v>150242200</v>
      </c>
      <c r="B50" s="14" t="s">
        <v>460</v>
      </c>
      <c r="C50" s="15" t="str">
        <f t="array" aca="1" ref="C50" ca="1">IFERROR(_xludf.XLOOKUP(A50,Sheet1!A:A,Sheet1!B:B),"Não")</f>
        <v>Não</v>
      </c>
    </row>
    <row r="51" spans="1:6" ht="12.75">
      <c r="A51" s="13">
        <v>1446287023</v>
      </c>
      <c r="B51" s="14" t="s">
        <v>461</v>
      </c>
      <c r="C51" s="15" t="str">
        <f t="array" aca="1" ref="C51" ca="1">IFERROR(_xludf.XLOOKUP(A51,Sheet1!A:A,Sheet1!B:B),"Não")</f>
        <v>Não</v>
      </c>
      <c r="D51" s="16" t="e">
        <f t="array" aca="1" ref="D51" ca="1">_xludf.XLOOKUP(A51,import!A:A,import!C:C)</f>
        <v>#NAME?</v>
      </c>
      <c r="E51" s="16" t="e">
        <f t="array" aca="1" ref="E51" ca="1">_xludf.XLOOKUP(A51,import!A:A,import!E:E)</f>
        <v>#NAME?</v>
      </c>
      <c r="F51" s="17" t="s">
        <v>462</v>
      </c>
    </row>
    <row r="52" spans="1:6" ht="12.75">
      <c r="A52" s="13">
        <v>268300847</v>
      </c>
      <c r="B52" s="14" t="s">
        <v>463</v>
      </c>
      <c r="C52" s="15" t="str">
        <f t="array" aca="1" ref="C52" ca="1">IFERROR(_xludf.XLOOKUP(A52,Sheet1!A:A,Sheet1!B:B),"Não")</f>
        <v>Não</v>
      </c>
      <c r="D52" s="16" t="e">
        <f t="array" aca="1" ref="D52" ca="1">_xludf.XLOOKUP(A52,import!A:A,import!C:C)</f>
        <v>#NAME?</v>
      </c>
      <c r="E52" s="15" t="e">
        <f t="array" aca="1" ref="E52" ca="1">_xludf.XLOOKUP(A52,import!A:A,import!E:E)</f>
        <v>#NAME?</v>
      </c>
      <c r="F52" s="17" t="s">
        <v>464</v>
      </c>
    </row>
    <row r="53" spans="1:6" ht="12.75" hidden="1">
      <c r="A53" s="13">
        <v>1427325193</v>
      </c>
      <c r="B53" s="14" t="s">
        <v>465</v>
      </c>
      <c r="C53" s="15" t="str">
        <f t="array" aca="1" ref="C53" ca="1">IFERROR(_xludf.XLOOKUP(A53,Sheet1!A:A,Sheet1!B:B),"Não")</f>
        <v>Não</v>
      </c>
    </row>
    <row r="54" spans="1:6" ht="12.75">
      <c r="A54" s="13">
        <v>798617488</v>
      </c>
      <c r="B54" s="14" t="s">
        <v>466</v>
      </c>
      <c r="C54" s="15" t="str">
        <f t="array" aca="1" ref="C54" ca="1">IFERROR(_xludf.XLOOKUP(A54,Sheet1!A:A,Sheet1!B:B),"Não")</f>
        <v>Não</v>
      </c>
      <c r="D54" s="16" t="e">
        <f t="array" aca="1" ref="D54" ca="1">_xludf.XLOOKUP(A54,import!A:A,import!C:C)</f>
        <v>#NAME?</v>
      </c>
      <c r="E54" s="15" t="e">
        <f t="array" aca="1" ref="E54" ca="1">_xludf.XLOOKUP(A54,import!A:A,import!E:E)</f>
        <v>#NAME?</v>
      </c>
      <c r="F54" s="17" t="s">
        <v>467</v>
      </c>
    </row>
    <row r="55" spans="1:6" ht="12.75" hidden="1">
      <c r="A55" s="13">
        <v>1342941619</v>
      </c>
      <c r="B55" s="14" t="s">
        <v>468</v>
      </c>
      <c r="C55" s="15" t="str">
        <f t="array" aca="1" ref="C55" ca="1">IFERROR(_xludf.XLOOKUP(A55,Sheet1!A:A,Sheet1!B:B),"Não")</f>
        <v>Não</v>
      </c>
    </row>
    <row r="56" spans="1:6" ht="12.75">
      <c r="A56" s="13">
        <v>678610452</v>
      </c>
      <c r="B56" s="14" t="s">
        <v>469</v>
      </c>
      <c r="C56" s="15" t="str">
        <f t="array" aca="1" ref="C56" ca="1">IFERROR(_xludf.XLOOKUP(A56,Sheet1!A:A,Sheet1!B:B),"Não")</f>
        <v>Não</v>
      </c>
      <c r="D56" s="16" t="e">
        <f t="array" aca="1" ref="D56" ca="1">_xludf.XLOOKUP(A56,import!A:A,import!C:C)</f>
        <v>#NAME?</v>
      </c>
      <c r="E56" s="16" t="e">
        <f t="array" aca="1" ref="E56" ca="1">_xludf.XLOOKUP(A56,import!A:A,import!E:E)</f>
        <v>#NAME?</v>
      </c>
      <c r="F56" s="17" t="s">
        <v>470</v>
      </c>
    </row>
    <row r="57" spans="1:6" ht="12.75">
      <c r="A57" s="13">
        <v>2457362902</v>
      </c>
      <c r="B57" s="14" t="s">
        <v>471</v>
      </c>
      <c r="C57" s="15" t="str">
        <f t="array" aca="1" ref="C57" ca="1">IFERROR(_xludf.XLOOKUP(A57,Sheet1!A:A,Sheet1!B:B),"Não")</f>
        <v>Não</v>
      </c>
      <c r="D57" s="15" t="e">
        <f t="array" aca="1" ref="D57" ca="1">_xludf.XLOOKUP(A57,import!A:A,import!C:C)</f>
        <v>#NAME?</v>
      </c>
      <c r="E57" s="15" t="e">
        <f t="array" aca="1" ref="E57" ca="1">_xludf.XLOOKUP(A57,import!A:A,import!E:E)</f>
        <v>#NAME?</v>
      </c>
    </row>
    <row r="58" spans="1:6" ht="12.75" hidden="1">
      <c r="A58" s="13">
        <v>44352982</v>
      </c>
      <c r="B58" s="14" t="s">
        <v>472</v>
      </c>
      <c r="C58" s="15" t="str">
        <f t="array" aca="1" ref="C58" ca="1">IFERROR(_xludf.XLOOKUP(A58,Sheet1!A:A,Sheet1!B:B),"Não")</f>
        <v>Não</v>
      </c>
    </row>
    <row r="59" spans="1:6" ht="12.75">
      <c r="A59" s="13">
        <v>330532268</v>
      </c>
      <c r="B59" s="14" t="s">
        <v>473</v>
      </c>
      <c r="C59" s="15" t="str">
        <f t="array" aca="1" ref="C59" ca="1">IFERROR(_xludf.XLOOKUP(A59,Sheet1!A:A,Sheet1!B:B),"Não")</f>
        <v>Não</v>
      </c>
      <c r="D59" s="16" t="e">
        <f t="array" aca="1" ref="D59" ca="1">_xludf.XLOOKUP(A59,import!A:A,import!C:C)</f>
        <v>#NAME?</v>
      </c>
      <c r="E59" s="15" t="e">
        <f t="array" aca="1" ref="E59" ca="1">_xludf.XLOOKUP(A59,import!A:A,import!E:E)</f>
        <v>#NAME?</v>
      </c>
      <c r="F59" s="15" t="s">
        <v>474</v>
      </c>
    </row>
    <row r="60" spans="1:6" ht="12.75" hidden="1">
      <c r="A60" s="13">
        <v>1399249654</v>
      </c>
      <c r="B60" s="14" t="s">
        <v>475</v>
      </c>
      <c r="C60" s="15" t="str">
        <f t="array" aca="1" ref="C60" ca="1">IFERROR(_xludf.XLOOKUP(A60,Sheet1!A:A,Sheet1!B:B),"Não")</f>
        <v>Não</v>
      </c>
    </row>
    <row r="61" spans="1:6" ht="12.75">
      <c r="A61" s="13">
        <v>149518102</v>
      </c>
      <c r="B61" s="14" t="s">
        <v>476</v>
      </c>
      <c r="C61" s="15" t="str">
        <f t="array" aca="1" ref="C61" ca="1">IFERROR(_xludf.XLOOKUP(A61,Sheet1!A:A,Sheet1!B:B),"Não")</f>
        <v>Não</v>
      </c>
      <c r="D61" s="16" t="e">
        <f t="array" aca="1" ref="D61" ca="1">_xludf.XLOOKUP(A61,import!A:A,import!C:C)</f>
        <v>#NAME?</v>
      </c>
      <c r="E61" s="15" t="e">
        <f t="array" aca="1" ref="E61" ca="1">_xludf.XLOOKUP(A61,import!A:A,import!E:E)</f>
        <v>#NAME?</v>
      </c>
      <c r="F61" s="17" t="s">
        <v>477</v>
      </c>
    </row>
    <row r="62" spans="1:6" ht="12.75" hidden="1">
      <c r="A62" s="13">
        <v>1156310262</v>
      </c>
      <c r="B62" s="14" t="s">
        <v>478</v>
      </c>
      <c r="C62" s="15" t="str">
        <f t="array" aca="1" ref="C62" ca="1">IFERROR(_xludf.XLOOKUP(A62,Sheet1!A:A,Sheet1!B:B),"Não")</f>
        <v>Não</v>
      </c>
    </row>
    <row r="63" spans="1:6" ht="12.75">
      <c r="A63" s="13">
        <v>1420365380</v>
      </c>
      <c r="B63" s="14" t="s">
        <v>479</v>
      </c>
      <c r="C63" s="15" t="str">
        <f t="array" aca="1" ref="C63" ca="1">IFERROR(_xludf.XLOOKUP(A63,Sheet1!A:A,Sheet1!B:B),"Não")</f>
        <v>Não</v>
      </c>
      <c r="D63" s="16" t="e">
        <f t="array" aca="1" ref="D63" ca="1">_xludf.XLOOKUP(A63,import!A:A,import!C:C)</f>
        <v>#NAME?</v>
      </c>
      <c r="E63" s="16" t="e">
        <f t="array" aca="1" ref="E63" ca="1">_xludf.XLOOKUP(A63,import!A:A,import!E:E)</f>
        <v>#NAME?</v>
      </c>
      <c r="F63" s="17" t="s">
        <v>480</v>
      </c>
    </row>
    <row r="64" spans="1:6" ht="12.75">
      <c r="A64" s="13">
        <v>1185718745</v>
      </c>
      <c r="B64" s="14" t="s">
        <v>481</v>
      </c>
      <c r="C64" s="15" t="str">
        <f t="array" aca="1" ref="C64" ca="1">IFERROR(_xludf.XLOOKUP(A64,Sheet1!A:A,Sheet1!B:B),"Não")</f>
        <v>Não</v>
      </c>
      <c r="D64" s="16" t="e">
        <f t="array" aca="1" ref="D64" ca="1">_xludf.XLOOKUP(A64,import!A:A,import!C:C)</f>
        <v>#NAME?</v>
      </c>
      <c r="E64" s="16" t="e">
        <f t="array" aca="1" ref="E64" ca="1">_xludf.XLOOKUP(A64,import!A:A,import!E:E)</f>
        <v>#NAME?</v>
      </c>
      <c r="F64" s="17" t="s">
        <v>482</v>
      </c>
    </row>
    <row r="65" spans="1:6" ht="12.75">
      <c r="A65" s="13">
        <v>1434694534</v>
      </c>
      <c r="B65" s="14" t="s">
        <v>483</v>
      </c>
      <c r="C65" s="15" t="str">
        <f t="array" aca="1" ref="C65" ca="1">IFERROR(_xludf.XLOOKUP(A65,Sheet1!A:A,Sheet1!B:B),"Não")</f>
        <v>Não</v>
      </c>
      <c r="D65" s="15" t="e">
        <f t="array" aca="1" ref="D65" ca="1">_xludf.XLOOKUP(A65,import!A:A,import!C:C)</f>
        <v>#NAME?</v>
      </c>
      <c r="E65" s="15" t="e">
        <f t="array" aca="1" ref="E65" ca="1">_xludf.XLOOKUP(A65,import!A:A,import!E:E)</f>
        <v>#NAME?</v>
      </c>
    </row>
    <row r="66" spans="1:6" ht="12.75" hidden="1">
      <c r="A66" s="13">
        <v>1947955373</v>
      </c>
      <c r="B66" s="14" t="s">
        <v>484</v>
      </c>
      <c r="C66" s="15" t="str">
        <f t="array" aca="1" ref="C66" ca="1">IFERROR(_xludf.XLOOKUP(A66,Sheet1!A:A,Sheet1!B:B),"Não")</f>
        <v>Não</v>
      </c>
    </row>
    <row r="67" spans="1:6" ht="12.75">
      <c r="A67" s="13">
        <v>2569994453</v>
      </c>
      <c r="B67" s="14" t="s">
        <v>485</v>
      </c>
      <c r="C67" s="15" t="str">
        <f t="array" aca="1" ref="C67" ca="1">IFERROR(_xludf.XLOOKUP(A67,Sheet1!A:A,Sheet1!B:B),"Não")</f>
        <v>Não</v>
      </c>
      <c r="D67" s="15" t="e">
        <f t="array" aca="1" ref="D67" ca="1">_xludf.XLOOKUP(A67,import!A:A,import!C:C)</f>
        <v>#NAME?</v>
      </c>
      <c r="E67" s="15" t="e">
        <f t="array" aca="1" ref="E67" ca="1">_xludf.XLOOKUP(A67,import!A:A,import!E:E)</f>
        <v>#NAME?</v>
      </c>
    </row>
    <row r="68" spans="1:6" ht="12.75">
      <c r="A68" s="13">
        <v>1365706499</v>
      </c>
      <c r="B68" s="14" t="s">
        <v>486</v>
      </c>
      <c r="C68" s="15" t="str">
        <f t="array" aca="1" ref="C68" ca="1">IFERROR(_xludf.XLOOKUP(A68,Sheet1!A:A,Sheet1!B:B),"Não")</f>
        <v>Não</v>
      </c>
      <c r="D68" s="16" t="e">
        <f t="array" aca="1" ref="D68" ca="1">_xludf.XLOOKUP(A68,import!A:A,import!C:C)</f>
        <v>#NAME?</v>
      </c>
      <c r="E68" s="15" t="e">
        <f t="array" aca="1" ref="E68" ca="1">_xludf.XLOOKUP(A68,import!A:A,import!E:E)</f>
        <v>#NAME?</v>
      </c>
      <c r="F68" s="18" t="s">
        <v>487</v>
      </c>
    </row>
    <row r="69" spans="1:6" ht="12.75">
      <c r="A69" s="13">
        <v>1434918733</v>
      </c>
      <c r="B69" s="14" t="s">
        <v>488</v>
      </c>
      <c r="C69" s="15" t="str">
        <f t="array" aca="1" ref="C69" ca="1">IFERROR(_xludf.XLOOKUP(A69,Sheet1!A:A,Sheet1!B:B),"Não")</f>
        <v>Não</v>
      </c>
      <c r="D69" s="16" t="e">
        <f t="array" aca="1" ref="D69" ca="1">_xludf.XLOOKUP(A69,import!A:A,import!C:C)</f>
        <v>#NAME?</v>
      </c>
      <c r="E69" s="16" t="e">
        <f t="array" aca="1" ref="E69" ca="1">_xludf.XLOOKUP(A69,import!A:A,import!E:E)</f>
        <v>#NAME?</v>
      </c>
      <c r="F69" s="17" t="s">
        <v>489</v>
      </c>
    </row>
    <row r="70" spans="1:6" ht="12.75" hidden="1">
      <c r="A70" s="13">
        <v>2046114897</v>
      </c>
      <c r="B70" s="14" t="s">
        <v>490</v>
      </c>
      <c r="C70" s="15" t="str">
        <f t="array" aca="1" ref="C70" ca="1">IFERROR(_xludf.XLOOKUP(A70,Sheet1!A:A,Sheet1!B:B),"Não")</f>
        <v>Não</v>
      </c>
    </row>
    <row r="71" spans="1:6" ht="12.75">
      <c r="A71" s="13">
        <v>1451916544</v>
      </c>
      <c r="B71" s="14" t="s">
        <v>491</v>
      </c>
      <c r="C71" s="15" t="str">
        <f t="array" aca="1" ref="C71" ca="1">IFERROR(_xludf.XLOOKUP(A71,Sheet1!A:A,Sheet1!B:B),"Não")</f>
        <v>Não</v>
      </c>
      <c r="D71" s="16" t="e">
        <f t="array" aca="1" ref="D71" ca="1">_xludf.XLOOKUP(A71,import!A:A,import!C:C)</f>
        <v>#NAME?</v>
      </c>
      <c r="E71" s="16" t="e">
        <f t="array" aca="1" ref="E71" ca="1">_xludf.XLOOKUP(A71,import!A:A,import!E:E)</f>
        <v>#NAME?</v>
      </c>
      <c r="F71" s="17" t="s">
        <v>492</v>
      </c>
    </row>
    <row r="72" spans="1:6" ht="12.75">
      <c r="A72" s="13">
        <v>1482183974</v>
      </c>
      <c r="B72" s="14" t="s">
        <v>493</v>
      </c>
      <c r="C72" s="15" t="str">
        <f t="array" aca="1" ref="C72" ca="1">IFERROR(_xludf.XLOOKUP(A72,Sheet1!A:A,Sheet1!B:B),"Não")</f>
        <v>Não</v>
      </c>
      <c r="D72" s="16" t="e">
        <f t="array" aca="1" ref="D72" ca="1">_xludf.XLOOKUP(A72,import!A:A,import!C:C)</f>
        <v>#NAME?</v>
      </c>
      <c r="E72" s="15" t="e">
        <f t="array" aca="1" ref="E72" ca="1">_xludf.XLOOKUP(A72,import!A:A,import!E:E)</f>
        <v>#NAME?</v>
      </c>
      <c r="F72" s="17" t="s">
        <v>494</v>
      </c>
    </row>
    <row r="73" spans="1:6" ht="12.75">
      <c r="A73" s="13">
        <v>2351879503</v>
      </c>
      <c r="B73" s="14" t="s">
        <v>495</v>
      </c>
      <c r="C73" s="15" t="str">
        <f t="array" aca="1" ref="C73" ca="1">IFERROR(_xludf.XLOOKUP(A73,Sheet1!A:A,Sheet1!B:B),"Não")</f>
        <v>Não</v>
      </c>
      <c r="D73" s="16" t="e">
        <f t="array" aca="1" ref="D73" ca="1">_xludf.XLOOKUP(A73,import!A:A,import!C:C)</f>
        <v>#NAME?</v>
      </c>
      <c r="E73" s="15" t="e">
        <f t="array" aca="1" ref="E73" ca="1">_xludf.XLOOKUP(A73,import!A:A,import!E:E)</f>
        <v>#NAME?</v>
      </c>
      <c r="F73" s="15" t="s">
        <v>474</v>
      </c>
    </row>
    <row r="74" spans="1:6" ht="12.75">
      <c r="A74" s="13">
        <v>1514602500</v>
      </c>
      <c r="B74" s="14" t="s">
        <v>496</v>
      </c>
      <c r="C74" s="15" t="str">
        <f t="array" aca="1" ref="C74" ca="1">IFERROR(_xludf.XLOOKUP(A74,Sheet1!A:A,Sheet1!B:B),"Não")</f>
        <v>Não</v>
      </c>
      <c r="D74" s="16" t="e">
        <f t="array" aca="1" ref="D74" ca="1">_xludf.XLOOKUP(A74,import!A:A,import!C:C)</f>
        <v>#NAME?</v>
      </c>
      <c r="E74" s="16" t="e">
        <f t="array" aca="1" ref="E74" ca="1">_xludf.XLOOKUP(A74,import!A:A,import!E:E)</f>
        <v>#NAME?</v>
      </c>
      <c r="F74" s="15" t="s">
        <v>497</v>
      </c>
    </row>
    <row r="75" spans="1:6" ht="12.75" hidden="1">
      <c r="A75" s="13">
        <v>1457441247</v>
      </c>
      <c r="B75" s="14" t="s">
        <v>498</v>
      </c>
      <c r="C75" s="15" t="str">
        <f t="array" aca="1" ref="C75" ca="1">IFERROR(_xludf.XLOOKUP(A75,Sheet1!A:A,Sheet1!B:B),"Não")</f>
        <v>Não</v>
      </c>
    </row>
    <row r="76" spans="1:6" ht="12.75" hidden="1">
      <c r="A76" s="13">
        <v>200355621</v>
      </c>
      <c r="B76" s="14" t="s">
        <v>499</v>
      </c>
      <c r="C76" s="15" t="str">
        <f t="array" aca="1" ref="C76" ca="1">IFERROR(_xludf.XLOOKUP(A76,Sheet1!A:A,Sheet1!B:B),"Não")</f>
        <v>Não</v>
      </c>
    </row>
    <row r="77" spans="1:6" ht="12.75" hidden="1">
      <c r="A77" s="13">
        <v>152436288</v>
      </c>
      <c r="B77" s="14" t="s">
        <v>500</v>
      </c>
      <c r="C77" s="15" t="str">
        <f t="array" aca="1" ref="C77" ca="1">IFERROR(_xludf.XLOOKUP(A77,Sheet1!A:A,Sheet1!B:B),"Não")</f>
        <v>Não</v>
      </c>
    </row>
    <row r="78" spans="1:6" ht="12.75">
      <c r="A78" s="13">
        <v>2313173800</v>
      </c>
      <c r="B78" s="14" t="s">
        <v>501</v>
      </c>
      <c r="C78" s="15" t="str">
        <f t="array" aca="1" ref="C78" ca="1">IFERROR(_xludf.XLOOKUP(A78,Sheet1!A:A,Sheet1!B:B),"Não")</f>
        <v>Não</v>
      </c>
      <c r="D78" s="15" t="e">
        <f t="array" aca="1" ref="D78" ca="1">_xludf.XLOOKUP(A78,import!A:A,import!C:C)</f>
        <v>#NAME?</v>
      </c>
      <c r="E78" s="15" t="e">
        <f t="array" aca="1" ref="E78" ca="1">_xludf.XLOOKUP(A78,import!A:A,import!E:E)</f>
        <v>#NAME?</v>
      </c>
    </row>
    <row r="79" spans="1:6" ht="12.75">
      <c r="A79" s="13">
        <v>547239300</v>
      </c>
      <c r="B79" s="14" t="s">
        <v>502</v>
      </c>
      <c r="C79" s="15" t="str">
        <f t="array" aca="1" ref="C79" ca="1">IFERROR(_xludf.XLOOKUP(A79,Sheet1!A:A,Sheet1!B:B),"Não")</f>
        <v>Não</v>
      </c>
      <c r="D79" s="16" t="e">
        <f t="array" aca="1" ref="D79" ca="1">_xludf.XLOOKUP(A79,import!A:A,import!C:C)</f>
        <v>#NAME?</v>
      </c>
      <c r="E79" s="16" t="e">
        <f t="array" aca="1" ref="E79" ca="1">_xludf.XLOOKUP(A79,import!A:A,import!E:E)</f>
        <v>#NAME?</v>
      </c>
      <c r="F79" s="17" t="s">
        <v>503</v>
      </c>
    </row>
    <row r="80" spans="1:6" ht="12.75">
      <c r="A80" s="13">
        <v>1427776750</v>
      </c>
      <c r="B80" s="14" t="s">
        <v>504</v>
      </c>
      <c r="C80" s="15" t="str">
        <f t="array" aca="1" ref="C80" ca="1">IFERROR(_xludf.XLOOKUP(A80,Sheet1!A:A,Sheet1!B:B),"Não")</f>
        <v>Não</v>
      </c>
      <c r="D80" s="15" t="e">
        <f t="array" aca="1" ref="D80" ca="1">_xludf.XLOOKUP(A80,import!A:A,import!C:C)</f>
        <v>#NAME?</v>
      </c>
      <c r="E80" s="15" t="e">
        <f t="array" aca="1" ref="E80" ca="1">_xludf.XLOOKUP(A80,import!A:A,import!E:E)</f>
        <v>#NAME?</v>
      </c>
    </row>
  </sheetData>
  <autoFilter ref="A1:F80" xr:uid="{00000000-0009-0000-0000-000001000000}">
    <filterColumn colId="2">
      <filters>
        <filter val="Pendente"/>
      </filters>
    </filterColumn>
  </autoFilter>
  <hyperlinks>
    <hyperlink ref="F3" r:id="rId1" xr:uid="{00000000-0004-0000-0100-000000000000}"/>
    <hyperlink ref="F4" r:id="rId2" xr:uid="{00000000-0004-0000-0100-000001000000}"/>
    <hyperlink ref="F5" r:id="rId3" xr:uid="{00000000-0004-0000-0100-000002000000}"/>
    <hyperlink ref="F6" r:id="rId4" xr:uid="{00000000-0004-0000-0100-000003000000}"/>
    <hyperlink ref="F8" r:id="rId5" xr:uid="{00000000-0004-0000-0100-000004000000}"/>
    <hyperlink ref="F10" r:id="rId6" xr:uid="{00000000-0004-0000-0100-000005000000}"/>
    <hyperlink ref="F11" r:id="rId7" xr:uid="{00000000-0004-0000-0100-000006000000}"/>
    <hyperlink ref="F12" r:id="rId8" xr:uid="{00000000-0004-0000-0100-000007000000}"/>
    <hyperlink ref="F14" r:id="rId9" xr:uid="{00000000-0004-0000-0100-000008000000}"/>
    <hyperlink ref="F15" r:id="rId10" xr:uid="{00000000-0004-0000-0100-000009000000}"/>
    <hyperlink ref="F16" r:id="rId11" xr:uid="{00000000-0004-0000-0100-00000A000000}"/>
    <hyperlink ref="F17" r:id="rId12" xr:uid="{00000000-0004-0000-0100-00000B000000}"/>
    <hyperlink ref="F18" r:id="rId13" xr:uid="{00000000-0004-0000-0100-00000C000000}"/>
    <hyperlink ref="F22" r:id="rId14" xr:uid="{00000000-0004-0000-0100-00000D000000}"/>
    <hyperlink ref="F23" r:id="rId15" xr:uid="{00000000-0004-0000-0100-00000E000000}"/>
    <hyperlink ref="F24" r:id="rId16" xr:uid="{00000000-0004-0000-0100-00000F000000}"/>
    <hyperlink ref="F26" r:id="rId17" xr:uid="{00000000-0004-0000-0100-000010000000}"/>
    <hyperlink ref="F28" r:id="rId18" xr:uid="{00000000-0004-0000-0100-000011000000}"/>
    <hyperlink ref="F30" r:id="rId19" xr:uid="{00000000-0004-0000-0100-000012000000}"/>
    <hyperlink ref="F32" r:id="rId20" xr:uid="{00000000-0004-0000-0100-000013000000}"/>
    <hyperlink ref="F33" r:id="rId21" xr:uid="{00000000-0004-0000-0100-000014000000}"/>
    <hyperlink ref="F35" r:id="rId22" xr:uid="{00000000-0004-0000-0100-000015000000}"/>
    <hyperlink ref="F36" r:id="rId23" xr:uid="{00000000-0004-0000-0100-000016000000}"/>
    <hyperlink ref="F37" r:id="rId24" xr:uid="{00000000-0004-0000-0100-000017000000}"/>
    <hyperlink ref="F38" r:id="rId25" xr:uid="{00000000-0004-0000-0100-000018000000}"/>
    <hyperlink ref="F39" r:id="rId26" xr:uid="{00000000-0004-0000-0100-000019000000}"/>
    <hyperlink ref="F40" r:id="rId27" xr:uid="{00000000-0004-0000-0100-00001A000000}"/>
    <hyperlink ref="F42" r:id="rId28" xr:uid="{00000000-0004-0000-0100-00001B000000}"/>
    <hyperlink ref="F43" r:id="rId29" xr:uid="{00000000-0004-0000-0100-00001C000000}"/>
    <hyperlink ref="F45" r:id="rId30" xr:uid="{00000000-0004-0000-0100-00001D000000}"/>
    <hyperlink ref="F47" r:id="rId31" xr:uid="{00000000-0004-0000-0100-00001E000000}"/>
    <hyperlink ref="F48" r:id="rId32" xr:uid="{00000000-0004-0000-0100-00001F000000}"/>
    <hyperlink ref="F51" r:id="rId33" xr:uid="{00000000-0004-0000-0100-000020000000}"/>
    <hyperlink ref="F52" r:id="rId34" xr:uid="{00000000-0004-0000-0100-000021000000}"/>
    <hyperlink ref="F54" r:id="rId35" xr:uid="{00000000-0004-0000-0100-000022000000}"/>
    <hyperlink ref="F56" r:id="rId36" xr:uid="{00000000-0004-0000-0100-000023000000}"/>
    <hyperlink ref="F61" r:id="rId37" xr:uid="{00000000-0004-0000-0100-000024000000}"/>
    <hyperlink ref="F63" r:id="rId38" xr:uid="{00000000-0004-0000-0100-000025000000}"/>
    <hyperlink ref="F64" r:id="rId39" xr:uid="{00000000-0004-0000-0100-000026000000}"/>
    <hyperlink ref="F68" r:id="rId40" xr:uid="{00000000-0004-0000-0100-000027000000}"/>
    <hyperlink ref="F69" r:id="rId41" xr:uid="{00000000-0004-0000-0100-000028000000}"/>
    <hyperlink ref="F71" r:id="rId42" xr:uid="{00000000-0004-0000-0100-000029000000}"/>
    <hyperlink ref="F72" r:id="rId43" xr:uid="{00000000-0004-0000-0100-00002A000000}"/>
    <hyperlink ref="F79" r:id="rId44" xr:uid="{00000000-0004-0000-0100-00002B000000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12.42578125" customWidth="1"/>
    <col min="2" max="2" width="26.5703125" customWidth="1"/>
    <col min="3" max="3" width="122" customWidth="1"/>
    <col min="4" max="4" width="34.28515625" customWidth="1"/>
    <col min="5" max="5" width="60.5703125" customWidth="1"/>
    <col min="6" max="6" width="31.5703125" customWidth="1"/>
  </cols>
  <sheetData>
    <row r="1" spans="1:26">
      <c r="A1" s="19" t="str">
        <f ca="1">IFERROR(__xludf.DUMMYFUNCTION("IMPORTRANGE(""https://docs.google.com/spreadsheets/d/10g4G0kCjCDd_ICa4_A1YPT2Qy7lcMrhzmtXWv-RZ8rU/edit?gid=968273440#gid=968273440"",""Gestão Carteira!A2:B2000"")"),"cus_cust_id_aff")</f>
        <v>cus_cust_id_aff</v>
      </c>
      <c r="B1" s="20" t="str">
        <f ca="1">IFERROR(__xludf.DUMMYFUNCTION("""COMPUTED_VALUE"""),"aff_name")</f>
        <v>aff_name</v>
      </c>
      <c r="C1" s="19" t="str">
        <f ca="1">IFERROR(__xludf.DUMMYFUNCTION("IMPORTRANGE(""https://docs.google.com/spreadsheets/d/10g4G0kCjCDd_ICa4_A1YPT2Qy7lcMrhzmtXWv-RZ8rU/edit?gid=968273440#gid=968273440"",""Gestão Carteira!AM2:AP2000"")"),"Qual seu Instagram?")</f>
        <v>Qual seu Instagram?</v>
      </c>
      <c r="D1" s="19" t="str">
        <f ca="1">IFERROR(__xludf.DUMMYFUNCTION("""COMPUTED_VALUE"""),"Quantos seguidores você tem no Instagram?")</f>
        <v>Quantos seguidores você tem no Instagram?</v>
      </c>
      <c r="E1" s="19" t="str">
        <f ca="1">IFERROR(__xludf.DUMMYFUNCTION("""COMPUTED_VALUE"""),"Qual seu perfil no TikTok?")</f>
        <v>Qual seu perfil no TikTok?</v>
      </c>
      <c r="F1" s="19" t="str">
        <f ca="1">IFERROR(__xludf.DUMMYFUNCTION("""COMPUTED_VALUE"""),"Quantos seguidores você tem no TikTok?")</f>
        <v>Quantos seguidores você tem no TikTok?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21">
        <f ca="1">IFERROR(__xludf.DUMMYFUNCTION("""COMPUTED_VALUE"""),488851324)</f>
        <v>488851324</v>
      </c>
      <c r="B2" s="19" t="str">
        <f ca="1">IFERROR(__xludf.DUMMYFUNCTION("""COMPUTED_VALUE"""),"promosdodia")</f>
        <v>promosdodia</v>
      </c>
      <c r="C2" s="19" t="str">
        <f ca="1">IFERROR(__xludf.DUMMYFUNCTION("""COMPUTED_VALUE"""),"")</f>
        <v/>
      </c>
      <c r="D2" s="19" t="str">
        <f ca="1">IFERROR(__xludf.DUMMYFUNCTION("""COMPUTED_VALUE"""),"")</f>
        <v/>
      </c>
      <c r="E2" s="19" t="str">
        <f ca="1">IFERROR(__xludf.DUMMYFUNCTION("""COMPUTED_VALUE"""),"")</f>
        <v/>
      </c>
      <c r="F2" s="19" t="str">
        <f ca="1">IFERROR(__xludf.DUMMYFUNCTION("""COMPUTED_VALUE"""),"")</f>
        <v/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21">
        <f ca="1">IFERROR(__xludf.DUMMYFUNCTION("""COMPUTED_VALUE"""),2490611911)</f>
        <v>2490611911</v>
      </c>
      <c r="B3" s="19" t="str">
        <f ca="1">IFERROR(__xludf.DUMMYFUNCTION("""COMPUTED_VALUE"""),"promozonevip")</f>
        <v>promozonevip</v>
      </c>
      <c r="C3" s="22" t="str">
        <f ca="1">IFERROR(__xludf.DUMMYFUNCTION("""COMPUTED_VALUE"""),"https://www.instagram.com/eusoubarone?igsh=cWVvOXQydzdseW15")</f>
        <v>https://www.instagram.com/eusoubarone?igsh=cWVvOXQydzdseW15</v>
      </c>
      <c r="D3" s="19">
        <f ca="1">IFERROR(__xludf.DUMMYFUNCTION("""COMPUTED_VALUE"""),4000000)</f>
        <v>4000000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>
      <c r="A4" s="21">
        <f ca="1">IFERROR(__xludf.DUMMYFUNCTION("""COMPUTED_VALUE"""),1477497679)</f>
        <v>1477497679</v>
      </c>
      <c r="B4" s="19" t="str">
        <f ca="1">IFERROR(__xludf.DUMMYFUNCTION("""COMPUTED_VALUE"""),"minutoreview")</f>
        <v>minutoreview</v>
      </c>
      <c r="C4" s="22" t="str">
        <f ca="1">IFERROR(__xludf.DUMMYFUNCTION("""COMPUTED_VALUE"""),"https://www.instagram.com/heroidapromo/")</f>
        <v>https://www.instagram.com/heroidapromo/</v>
      </c>
      <c r="D4" s="19">
        <f ca="1">IFERROR(__xludf.DUMMYFUNCTION("""COMPUTED_VALUE"""),147000)</f>
        <v>147000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21">
        <f ca="1">IFERROR(__xludf.DUMMYFUNCTION("""COMPUTED_VALUE"""),555414187)</f>
        <v>555414187</v>
      </c>
      <c r="B5" s="19" t="str">
        <f ca="1">IFERROR(__xludf.DUMMYFUNCTION("""COMPUTED_VALUE"""),"Xetdaspromocoes")</f>
        <v>Xetdaspromocoes</v>
      </c>
      <c r="C5" s="22" t="str">
        <f ca="1">IFERROR(__xludf.DUMMYFUNCTION("""COMPUTED_VALUE"""),"https://x.com/xetdaspromocoes")</f>
        <v>https://x.com/xetdaspromocoes</v>
      </c>
      <c r="D5" s="19">
        <f ca="1">IFERROR(__xludf.DUMMYFUNCTION("""COMPUTED_VALUE"""),500000)</f>
        <v>500000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21">
        <f ca="1">IFERROR(__xludf.DUMMYFUNCTION("""COMPUTED_VALUE"""),1236298302)</f>
        <v>1236298302</v>
      </c>
      <c r="B6" s="19" t="str">
        <f ca="1">IFERROR(__xludf.DUMMYFUNCTION("""COMPUTED_VALUE"""),"jersu")</f>
        <v>jersu</v>
      </c>
      <c r="C6" s="22" t="str">
        <f ca="1">IFERROR(__xludf.DUMMYFUNCTION("""COMPUTED_VALUE"""),"https://www.instagram.com/jeersu")</f>
        <v>https://www.instagram.com/jeersu</v>
      </c>
      <c r="D6" s="19">
        <f ca="1">IFERROR(__xludf.DUMMYFUNCTION("""COMPUTED_VALUE"""),171000)</f>
        <v>171000</v>
      </c>
      <c r="E6" s="22" t="str">
        <f ca="1">IFERROR(__xludf.DUMMYFUNCTION("""COMPUTED_VALUE"""),"https://www.tiktok.com/@jersu")</f>
        <v>https://www.tiktok.com/@jersu</v>
      </c>
      <c r="F6" s="19">
        <f ca="1">IFERROR(__xludf.DUMMYFUNCTION("""COMPUTED_VALUE"""),114000)</f>
        <v>114000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21">
        <f ca="1">IFERROR(__xludf.DUMMYFUNCTION("""COMPUTED_VALUE"""),1245410086)</f>
        <v>1245410086</v>
      </c>
      <c r="B7" s="19" t="str">
        <f ca="1">IFERROR(__xludf.DUMMYFUNCTION("""COMPUTED_VALUE"""),"tukemperial")</f>
        <v>tukemperial</v>
      </c>
      <c r="C7" s="19" t="str">
        <f ca="1">IFERROR(__xludf.DUMMYFUNCTION("""COMPUTED_VALUE"""),"")</f>
        <v/>
      </c>
      <c r="D7" s="19" t="str">
        <f ca="1">IFERROR(__xludf.DUMMYFUNCTION("""COMPUTED_VALUE"""),"")</f>
        <v/>
      </c>
      <c r="E7" s="19" t="str">
        <f ca="1">IFERROR(__xludf.DUMMYFUNCTION("""COMPUTED_VALUE"""),"")</f>
        <v/>
      </c>
      <c r="F7" s="19" t="str">
        <f ca="1">IFERROR(__xludf.DUMMYFUNCTION("""COMPUTED_VALUE"""),"")</f>
        <v/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>
      <c r="A8" s="21">
        <f ca="1">IFERROR(__xludf.DUMMYFUNCTION("""COMPUTED_VALUE"""),1231808348)</f>
        <v>1231808348</v>
      </c>
      <c r="B8" s="19" t="str">
        <f ca="1">IFERROR(__xludf.DUMMYFUNCTION("""COMPUTED_VALUE"""),"gesiel")</f>
        <v>gesiel</v>
      </c>
      <c r="C8" s="22" t="str">
        <f ca="1">IFERROR(__xludf.DUMMYFUNCTION("""COMPUTED_VALUE"""),"https://www.instagram.com/gesieltaveira/")</f>
        <v>https://www.instagram.com/gesieltaveira/</v>
      </c>
      <c r="D8" s="19">
        <f ca="1">IFERROR(__xludf.DUMMYFUNCTION("""COMPUTED_VALUE"""),388000)</f>
        <v>388000</v>
      </c>
      <c r="E8" s="22" t="str">
        <f ca="1">IFERROR(__xludf.DUMMYFUNCTION("""COMPUTED_VALUE"""),"https://www.tiktok.com/@gesieltaveira")</f>
        <v>https://www.tiktok.com/@gesieltaveira</v>
      </c>
      <c r="F8" s="19">
        <f ca="1">IFERROR(__xludf.DUMMYFUNCTION("""COMPUTED_VALUE"""),267600)</f>
        <v>267600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21">
        <f ca="1">IFERROR(__xludf.DUMMYFUNCTION("""COMPUTED_VALUE"""),1406524799)</f>
        <v>1406524799</v>
      </c>
      <c r="B9" s="19" t="str">
        <f ca="1">IFERROR(__xludf.DUMMYFUNCTION("""COMPUTED_VALUE"""),"Toptech")</f>
        <v>Toptech</v>
      </c>
      <c r="C9" s="19" t="str">
        <f ca="1">IFERROR(__xludf.DUMMYFUNCTION("""COMPUTED_VALUE"""),"")</f>
        <v/>
      </c>
      <c r="D9" s="19" t="str">
        <f ca="1">IFERROR(__xludf.DUMMYFUNCTION("""COMPUTED_VALUE"""),"")</f>
        <v/>
      </c>
      <c r="E9" s="19" t="str">
        <f ca="1">IFERROR(__xludf.DUMMYFUNCTION("""COMPUTED_VALUE"""),"")</f>
        <v/>
      </c>
      <c r="F9" s="19" t="str">
        <f ca="1">IFERROR(__xludf.DUMMYFUNCTION("""COMPUTED_VALUE"""),"")</f>
        <v/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21">
        <f ca="1">IFERROR(__xludf.DUMMYFUNCTION("""COMPUTED_VALUE"""),1464475202)</f>
        <v>1464475202</v>
      </c>
      <c r="B10" s="19" t="str">
        <f ca="1">IFERROR(__xludf.DUMMYFUNCTION("""COMPUTED_VALUE"""),"joaopsx")</f>
        <v>joaopsx</v>
      </c>
      <c r="C10" s="22" t="str">
        <f ca="1">IFERROR(__xludf.DUMMYFUNCTION("""COMPUTED_VALUE"""),"https://www.instagram.com/joao_psx/")</f>
        <v>https://www.instagram.com/joao_psx/</v>
      </c>
      <c r="D10" s="19">
        <f ca="1">IFERROR(__xludf.DUMMYFUNCTION("""COMPUTED_VALUE"""),30000)</f>
        <v>30000</v>
      </c>
      <c r="E10" s="22" t="str">
        <f ca="1">IFERROR(__xludf.DUMMYFUNCTION("""COMPUTED_VALUE"""),"https://www.tiktok.com/@joaopsx")</f>
        <v>https://www.tiktok.com/@joaopsx</v>
      </c>
      <c r="F10" s="19">
        <f ca="1">IFERROR(__xludf.DUMMYFUNCTION("""COMPUTED_VALUE"""),15000)</f>
        <v>15000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>
      <c r="A11" s="21">
        <f ca="1">IFERROR(__xludf.DUMMYFUNCTION("""COMPUTED_VALUE"""),1342859483)</f>
        <v>1342859483</v>
      </c>
      <c r="B11" s="19" t="str">
        <f ca="1">IFERROR(__xludf.DUMMYFUNCTION("""COMPUTED_VALUE"""),"abelhando")</f>
        <v>abelhando</v>
      </c>
      <c r="C11" s="22" t="str">
        <f ca="1">IFERROR(__xludf.DUMMYFUNCTION("""COMPUTED_VALUE"""),"https://www.instagram.com/vrltecnologia/")</f>
        <v>https://www.instagram.com/vrltecnologia/</v>
      </c>
      <c r="D11" s="19">
        <f ca="1">IFERROR(__xludf.DUMMYFUNCTION("""COMPUTED_VALUE"""),3000)</f>
        <v>3000</v>
      </c>
      <c r="E11" s="22" t="str">
        <f ca="1">IFERROR(__xludf.DUMMYFUNCTION("""COMPUTED_VALUE"""),"https://www.tiktok.com/@vrltecnologia")</f>
        <v>https://www.tiktok.com/@vrltecnologia</v>
      </c>
      <c r="F11" s="19">
        <f ca="1">IFERROR(__xludf.DUMMYFUNCTION("""COMPUTED_VALUE"""),5000)</f>
        <v>5000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21">
        <f ca="1">IFERROR(__xludf.DUMMYFUNCTION("""COMPUTED_VALUE"""),1317961778)</f>
        <v>1317961778</v>
      </c>
      <c r="B12" s="19" t="str">
        <f ca="1">IFERROR(__xludf.DUMMYFUNCTION("""COMPUTED_VALUE"""),"thautec")</f>
        <v>thautec</v>
      </c>
      <c r="C12" s="22" t="str">
        <f ca="1">IFERROR(__xludf.DUMMYFUNCTION("""COMPUTED_VALUE"""),"www.instagram.com/thautec")</f>
        <v>www.instagram.com/thautec</v>
      </c>
      <c r="D12" s="19">
        <f ca="1">IFERROR(__xludf.DUMMYFUNCTION("""COMPUTED_VALUE"""),500000)</f>
        <v>500000</v>
      </c>
      <c r="E12" s="22" t="str">
        <f ca="1">IFERROR(__xludf.DUMMYFUNCTION("""COMPUTED_VALUE"""),"www.tiktok.com/@thautec")</f>
        <v>www.tiktok.com/@thautec</v>
      </c>
      <c r="F12" s="19">
        <f ca="1">IFERROR(__xludf.DUMMYFUNCTION("""COMPUTED_VALUE"""),290000)</f>
        <v>290000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21">
        <f ca="1">IFERROR(__xludf.DUMMYFUNCTION("""COMPUTED_VALUE"""),1286635153)</f>
        <v>1286635153</v>
      </c>
      <c r="B13" s="19" t="str">
        <f ca="1">IFERROR(__xludf.DUMMYFUNCTION("""COMPUTED_VALUE"""),"economizei")</f>
        <v>economizei</v>
      </c>
      <c r="C13" s="19" t="str">
        <f ca="1">IFERROR(__xludf.DUMMYFUNCTION("""COMPUTED_VALUE"""),"")</f>
        <v/>
      </c>
      <c r="D13" s="19" t="str">
        <f ca="1">IFERROR(__xludf.DUMMYFUNCTION("""COMPUTED_VALUE"""),"")</f>
        <v/>
      </c>
      <c r="E13" s="19" t="str">
        <f ca="1">IFERROR(__xludf.DUMMYFUNCTION("""COMPUTED_VALUE"""),"")</f>
        <v/>
      </c>
      <c r="F13" s="19" t="str">
        <f ca="1">IFERROR(__xludf.DUMMYFUNCTION("""COMPUTED_VALUE"""),"")</f>
        <v/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21">
        <f ca="1">IFERROR(__xludf.DUMMYFUNCTION("""COMPUTED_VALUE"""),1445776663)</f>
        <v>1445776663</v>
      </c>
      <c r="B14" s="19" t="str">
        <f ca="1">IFERROR(__xludf.DUMMYFUNCTION("""COMPUTED_VALUE"""),"JCAPUBLICIDADE")</f>
        <v>JCAPUBLICIDADE</v>
      </c>
      <c r="C14" s="22" t="str">
        <f ca="1">IFERROR(__xludf.DUMMYFUNCTION("""COMPUTED_VALUE"""),"instagram.com/grupotabugado")</f>
        <v>instagram.com/grupotabugado</v>
      </c>
      <c r="D14" s="19">
        <f ca="1">IFERROR(__xludf.DUMMYFUNCTION("""COMPUTED_VALUE"""),31500)</f>
        <v>31500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21">
        <f ca="1">IFERROR(__xludf.DUMMYFUNCTION("""COMPUTED_VALUE"""),1211756872)</f>
        <v>1211756872</v>
      </c>
      <c r="B15" s="19" t="str">
        <f ca="1">IFERROR(__xludf.DUMMYFUNCTION("""COMPUTED_VALUE"""),"lipe")</f>
        <v>lipe</v>
      </c>
      <c r="C15" s="22" t="str">
        <f ca="1">IFERROR(__xludf.DUMMYFUNCTION("""COMPUTED_VALUE"""),"https://www.instagram.com/lipemalestar/")</f>
        <v>https://www.instagram.com/lipemalestar/</v>
      </c>
      <c r="D15" s="19">
        <f ca="1">IFERROR(__xludf.DUMMYFUNCTION("""COMPUTED_VALUE"""),129000)</f>
        <v>129000</v>
      </c>
      <c r="E15" s="22" t="str">
        <f ca="1">IFERROR(__xludf.DUMMYFUNCTION("""COMPUTED_VALUE"""),"https://www.tiktok.com/@lipemalestar")</f>
        <v>https://www.tiktok.com/@lipemalestar</v>
      </c>
      <c r="F15" s="19">
        <f ca="1">IFERROR(__xludf.DUMMYFUNCTION("""COMPUTED_VALUE"""),469000)</f>
        <v>469000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21">
        <f ca="1">IFERROR(__xludf.DUMMYFUNCTION("""COMPUTED_VALUE"""),1207675246)</f>
        <v>1207675246</v>
      </c>
      <c r="B16" s="19" t="str">
        <f ca="1">IFERROR(__xludf.DUMMYFUNCTION("""COMPUTED_VALUE"""),"canalrodrigomoreira")</f>
        <v>canalrodrigomoreira</v>
      </c>
      <c r="C16" s="22" t="str">
        <f ca="1">IFERROR(__xludf.DUMMYFUNCTION("""COMPUTED_VALUE"""),"www.instagram.com/canalrodrigomoreira")</f>
        <v>www.instagram.com/canalrodrigomoreira</v>
      </c>
      <c r="D16" s="19">
        <f ca="1">IFERROR(__xludf.DUMMYFUNCTION("""COMPUTED_VALUE"""),34000)</f>
        <v>34000</v>
      </c>
      <c r="E16" s="22" t="str">
        <f ca="1">IFERROR(__xludf.DUMMYFUNCTION("""COMPUTED_VALUE"""),"www.tiktok.com/@canalrodrigomoreira")</f>
        <v>www.tiktok.com/@canalrodrigomoreira</v>
      </c>
      <c r="F16" s="19">
        <f ca="1">IFERROR(__xludf.DUMMYFUNCTION("""COMPUTED_VALUE"""),135000)</f>
        <v>135000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21">
        <f ca="1">IFERROR(__xludf.DUMMYFUNCTION("""COMPUTED_VALUE"""),1422846329)</f>
        <v>1422846329</v>
      </c>
      <c r="B17" s="19" t="str">
        <f ca="1">IFERROR(__xludf.DUMMYFUNCTION("""COMPUTED_VALUE"""),"coelhonojapo")</f>
        <v>coelhonojapo</v>
      </c>
      <c r="C17" s="22" t="str">
        <f ca="1">IFERROR(__xludf.DUMMYFUNCTION("""COMPUTED_VALUE"""),"https://www.instagram.com/rodrigocoelhoc/")</f>
        <v>https://www.instagram.com/rodrigocoelhoc/</v>
      </c>
      <c r="D17" s="19">
        <f ca="1">IFERROR(__xludf.DUMMYFUNCTION("""COMPUTED_VALUE"""),133000)</f>
        <v>133000</v>
      </c>
      <c r="E17" s="22" t="str">
        <f ca="1">IFERROR(__xludf.DUMMYFUNCTION("""COMPUTED_VALUE"""),"https://www.tiktok.com/@rodrigocoelhoc")</f>
        <v>https://www.tiktok.com/@rodrigocoelhoc</v>
      </c>
      <c r="F17" s="19">
        <f ca="1">IFERROR(__xludf.DUMMYFUNCTION("""COMPUTED_VALUE"""),70000)</f>
        <v>70000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21">
        <f ca="1">IFERROR(__xludf.DUMMYFUNCTION("""COMPUTED_VALUE"""),76331531)</f>
        <v>76331531</v>
      </c>
      <c r="B18" s="19" t="str">
        <f ca="1">IFERROR(__xludf.DUMMYFUNCTION("""COMPUTED_VALUE"""),"especialistaemti")</f>
        <v>especialistaemti</v>
      </c>
      <c r="C18" s="22" t="str">
        <f ca="1">IFERROR(__xludf.DUMMYFUNCTION("""COMPUTED_VALUE"""),"instagram.com/especialistaemti")</f>
        <v>instagram.com/especialistaemti</v>
      </c>
      <c r="D18" s="19">
        <f ca="1">IFERROR(__xludf.DUMMYFUNCTION("""COMPUTED_VALUE"""),53000)</f>
        <v>53000</v>
      </c>
      <c r="E18" s="22" t="str">
        <f ca="1">IFERROR(__xludf.DUMMYFUNCTION("""COMPUTED_VALUE"""),"tiktok.com/especialistaemti")</f>
        <v>tiktok.com/especialistaemti</v>
      </c>
      <c r="F18" s="19">
        <f ca="1">IFERROR(__xludf.DUMMYFUNCTION("""COMPUTED_VALUE"""),10000)</f>
        <v>10000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>
      <c r="A19" s="21">
        <f ca="1">IFERROR(__xludf.DUMMYFUNCTION("""COMPUTED_VALUE"""),1454842874)</f>
        <v>1454842874</v>
      </c>
      <c r="B19" s="19" t="str">
        <f ca="1">IFERROR(__xludf.DUMMYFUNCTION("""COMPUTED_VALUE"""),"promocaozinha")</f>
        <v>promocaozinha</v>
      </c>
      <c r="C19" s="22" t="str">
        <f ca="1">IFERROR(__xludf.DUMMYFUNCTION("""COMPUTED_VALUE"""),"instagram.com/promocaozinha")</f>
        <v>instagram.com/promocaozinha</v>
      </c>
      <c r="D19" s="19">
        <f ca="1">IFERROR(__xludf.DUMMYFUNCTION("""COMPUTED_VALUE"""),2600000)</f>
        <v>2600000</v>
      </c>
      <c r="E19" s="22" t="str">
        <f ca="1">IFERROR(__xludf.DUMMYFUNCTION("""COMPUTED_VALUE"""),"tiktok.com/@promocaozinha")</f>
        <v>tiktok.com/@promocaozinha</v>
      </c>
      <c r="F19" s="19">
        <f ca="1">IFERROR(__xludf.DUMMYFUNCTION("""COMPUTED_VALUE"""),200000)</f>
        <v>200000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>
      <c r="A20" s="21">
        <f ca="1">IFERROR(__xludf.DUMMYFUNCTION("""COMPUTED_VALUE"""),593029712)</f>
        <v>593029712</v>
      </c>
      <c r="B20" s="19" t="str">
        <f ca="1">IFERROR(__xludf.DUMMYFUNCTION("""COMPUTED_VALUE"""),"pobredasofertas")</f>
        <v>pobredasofertas</v>
      </c>
      <c r="C20" s="22" t="str">
        <f ca="1">IFERROR(__xludf.DUMMYFUNCTION("""COMPUTED_VALUE"""),"instagram.com/buscopobres")</f>
        <v>instagram.com/buscopobres</v>
      </c>
      <c r="D20" s="19">
        <f ca="1">IFERROR(__xludf.DUMMYFUNCTION("""COMPUTED_VALUE"""),81000)</f>
        <v>81000</v>
      </c>
      <c r="E20" s="22" t="str">
        <f ca="1">IFERROR(__xludf.DUMMYFUNCTION("""COMPUTED_VALUE"""),"tiktok.com/buscopobres")</f>
        <v>tiktok.com/buscopobres</v>
      </c>
      <c r="F20" s="19">
        <f ca="1">IFERROR(__xludf.DUMMYFUNCTION("""COMPUTED_VALUE"""),1271)</f>
        <v>1271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>
      <c r="A21" s="21">
        <f ca="1">IFERROR(__xludf.DUMMYFUNCTION("""COMPUTED_VALUE"""),207302282)</f>
        <v>207302282</v>
      </c>
      <c r="B21" s="19" t="str">
        <f ca="1">IFERROR(__xludf.DUMMYFUNCTION("""COMPUTED_VALUE"""),"promos4m")</f>
        <v>promos4m</v>
      </c>
      <c r="C21" s="22" t="str">
        <f ca="1">IFERROR(__xludf.DUMMYFUNCTION("""COMPUTED_VALUE"""),"https://www.instagram.com/promos4m/")</f>
        <v>https://www.instagram.com/promos4m/</v>
      </c>
      <c r="D21" s="19">
        <f ca="1">IFERROR(__xludf.DUMMYFUNCTION("""COMPUTED_VALUE"""),13745)</f>
        <v>13745</v>
      </c>
      <c r="E21" s="22" t="str">
        <f ca="1">IFERROR(__xludf.DUMMYFUNCTION("""COMPUTED_VALUE"""),"https://www.tiktok.com/@promos4m?lang=pt-BR")</f>
        <v>https://www.tiktok.com/@promos4m?lang=pt-BR</v>
      </c>
      <c r="F21" s="19">
        <f ca="1">IFERROR(__xludf.DUMMYFUNCTION("""COMPUTED_VALUE"""),2367)</f>
        <v>2367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>
      <c r="A22" s="21">
        <f ca="1">IFERROR(__xludf.DUMMYFUNCTION("""COMPUTED_VALUE"""),322502351)</f>
        <v>322502351</v>
      </c>
      <c r="B22" s="19" t="str">
        <f ca="1">IFERROR(__xludf.DUMMYFUNCTION("""COMPUTED_VALUE"""),"desconto")</f>
        <v>desconto</v>
      </c>
      <c r="C22" s="22" t="str">
        <f ca="1">IFERROR(__xludf.DUMMYFUNCTION("""COMPUTED_VALUE"""),"https://www.instagram.com/santostecpromo/")</f>
        <v>https://www.instagram.com/santostecpromo/</v>
      </c>
      <c r="D22" s="19">
        <f ca="1">IFERROR(__xludf.DUMMYFUNCTION("""COMPUTED_VALUE"""),700)</f>
        <v>700</v>
      </c>
      <c r="E22" s="22" t="str">
        <f ca="1">IFERROR(__xludf.DUMMYFUNCTION("""COMPUTED_VALUE"""),"https://www.tiktok.com/@santostecpromo")</f>
        <v>https://www.tiktok.com/@santostecpromo</v>
      </c>
      <c r="F22" s="19">
        <f ca="1">IFERROR(__xludf.DUMMYFUNCTION("""COMPUTED_VALUE"""),5500)</f>
        <v>5500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>
      <c r="A23" s="21">
        <f ca="1">IFERROR(__xludf.DUMMYFUNCTION("""COMPUTED_VALUE"""),1375138586)</f>
        <v>1375138586</v>
      </c>
      <c r="B23" s="19" t="str">
        <f ca="1">IFERROR(__xludf.DUMMYFUNCTION("""COMPUTED_VALUE"""),"Canaljptech")</f>
        <v>Canaljptech</v>
      </c>
      <c r="C23" s="22" t="str">
        <f ca="1">IFERROR(__xludf.DUMMYFUNCTION("""COMPUTED_VALUE"""),"https://www.instagram.com/jptechgames/")</f>
        <v>https://www.instagram.com/jptechgames/</v>
      </c>
      <c r="D23" s="19">
        <f ca="1">IFERROR(__xludf.DUMMYFUNCTION("""COMPUTED_VALUE"""),28077)</f>
        <v>28077</v>
      </c>
      <c r="E23" s="22" t="str">
        <f ca="1">IFERROR(__xludf.DUMMYFUNCTION("""COMPUTED_VALUE"""),"https://www.tiktok.com/@jptechgames_")</f>
        <v>https://www.tiktok.com/@jptechgames_</v>
      </c>
      <c r="F23" s="19">
        <f ca="1">IFERROR(__xludf.DUMMYFUNCTION("""COMPUTED_VALUE"""),172000)</f>
        <v>172000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>
      <c r="A24" s="21">
        <f ca="1">IFERROR(__xludf.DUMMYFUNCTION("""COMPUTED_VALUE"""),1366151811)</f>
        <v>1366151811</v>
      </c>
      <c r="B24" s="19" t="str">
        <f ca="1">IFERROR(__xludf.DUMMYFUNCTION("""COMPUTED_VALUE"""),"pcdofafa")</f>
        <v>pcdofafa</v>
      </c>
      <c r="C24" s="22" t="str">
        <f ca="1">IFERROR(__xludf.DUMMYFUNCTION("""COMPUTED_VALUE"""),"https://www.instagram.com/pcdofafa?igsh=MW15cTUyaDV2a3QwaQ==")</f>
        <v>https://www.instagram.com/pcdofafa?igsh=MW15cTUyaDV2a3QwaQ==</v>
      </c>
      <c r="D24" s="19">
        <f ca="1">IFERROR(__xludf.DUMMYFUNCTION("""COMPUTED_VALUE"""),17000)</f>
        <v>17000</v>
      </c>
      <c r="E24" s="22" t="str">
        <f ca="1">IFERROR(__xludf.DUMMYFUNCTION("""COMPUTED_VALUE"""),"https://www.tiktok.com/@pcdofafa?_t=ZM-8yzfN0wUGqz&amp;_r=1")</f>
        <v>https://www.tiktok.com/@pcdofafa?_t=ZM-8yzfN0wUGqz&amp;_r=1</v>
      </c>
      <c r="F24" s="19">
        <f ca="1">IFERROR(__xludf.DUMMYFUNCTION("""COMPUTED_VALUE"""),19000)</f>
        <v>19000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>
      <c r="A25" s="21">
        <f ca="1">IFERROR(__xludf.DUMMYFUNCTION("""COMPUTED_VALUE"""),1473563772)</f>
        <v>1473563772</v>
      </c>
      <c r="B25" s="19" t="str">
        <f ca="1">IFERROR(__xludf.DUMMYFUNCTION("""COMPUTED_VALUE"""),"urubupromo")</f>
        <v>urubupromo</v>
      </c>
      <c r="C25" s="22" t="str">
        <f ca="1">IFERROR(__xludf.DUMMYFUNCTION("""COMPUTED_VALUE"""),"instagram.com/urubupromo")</f>
        <v>instagram.com/urubupromo</v>
      </c>
      <c r="D25" s="19">
        <f ca="1">IFERROR(__xludf.DUMMYFUNCTION("""COMPUTED_VALUE"""),63000)</f>
        <v>63000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>
      <c r="A26" s="21">
        <f ca="1">IFERROR(__xludf.DUMMYFUNCTION("""COMPUTED_VALUE"""),1249172900)</f>
        <v>1249172900</v>
      </c>
      <c r="B26" s="19" t="str">
        <f ca="1">IFERROR(__xludf.DUMMYFUNCTION("""COMPUTED_VALUE"""),"tttech")</f>
        <v>tttech</v>
      </c>
      <c r="C26" s="22" t="str">
        <f ca="1">IFERROR(__xludf.DUMMYFUNCTION("""COMPUTED_VALUE"""),"https://www.instagram.com/thalissontttech/")</f>
        <v>https://www.instagram.com/thalissontttech/</v>
      </c>
      <c r="D26" s="19">
        <f ca="1">IFERROR(__xludf.DUMMYFUNCTION("""COMPUTED_VALUE"""),20000)</f>
        <v>20000</v>
      </c>
      <c r="E26" s="22" t="str">
        <f ca="1">IFERROR(__xludf.DUMMYFUNCTION("""COMPUTED_VALUE"""),"https://www.tiktok.com/@thalisson_tttech")</f>
        <v>https://www.tiktok.com/@thalisson_tttech</v>
      </c>
      <c r="F26" s="19">
        <f ca="1">IFERROR(__xludf.DUMMYFUNCTION("""COMPUTED_VALUE"""),3000)</f>
        <v>3000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>
      <c r="A27" s="21">
        <f ca="1">IFERROR(__xludf.DUMMYFUNCTION("""COMPUTED_VALUE"""),1478114661)</f>
        <v>1478114661</v>
      </c>
      <c r="B27" s="19" t="str">
        <f ca="1">IFERROR(__xludf.DUMMYFUNCTION("""COMPUTED_VALUE"""),"peguepromo")</f>
        <v>peguepromo</v>
      </c>
      <c r="C27" s="22" t="str">
        <f ca="1">IFERROR(__xludf.DUMMYFUNCTION("""COMPUTED_VALUE"""),"https://www.instagram.com/peguepromo/")</f>
        <v>https://www.instagram.com/peguepromo/</v>
      </c>
      <c r="D27" s="19">
        <f ca="1">IFERROR(__xludf.DUMMYFUNCTION("""COMPUTED_VALUE"""),135000)</f>
        <v>135000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>
      <c r="A28" s="21">
        <f ca="1">IFERROR(__xludf.DUMMYFUNCTION("""COMPUTED_VALUE"""),1231576803)</f>
        <v>1231576803</v>
      </c>
      <c r="B28" s="19" t="str">
        <f ca="1">IFERROR(__xludf.DUMMYFUNCTION("""COMPUTED_VALUE"""),"inovaleo")</f>
        <v>inovaleo</v>
      </c>
      <c r="C28" s="22" t="str">
        <f ca="1">IFERROR(__xludf.DUMMYFUNCTION("""COMPUTED_VALUE"""),"https://www.instagram.com/inovaleo/?hl=pt-br")</f>
        <v>https://www.instagram.com/inovaleo/?hl=pt-br</v>
      </c>
      <c r="D28" s="19">
        <f ca="1">IFERROR(__xludf.DUMMYFUNCTION("""COMPUTED_VALUE"""),492000)</f>
        <v>492000</v>
      </c>
      <c r="E28" s="22" t="str">
        <f ca="1">IFERROR(__xludf.DUMMYFUNCTION("""COMPUTED_VALUE"""),"https://www.tiktok.com/@inovaleo?_t=8ce33tztExC&amp;_r=1")</f>
        <v>https://www.tiktok.com/@inovaleo?_t=8ce33tztExC&amp;_r=1</v>
      </c>
      <c r="F28" s="19">
        <f ca="1">IFERROR(__xludf.DUMMYFUNCTION("""COMPUTED_VALUE"""),134000)</f>
        <v>134000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>
      <c r="A29" s="21">
        <f ca="1">IFERROR(__xludf.DUMMYFUNCTION("""COMPUTED_VALUE"""),1450808630)</f>
        <v>1450808630</v>
      </c>
      <c r="B29" s="19" t="str">
        <f ca="1">IFERROR(__xludf.DUMMYFUNCTION("""COMPUTED_VALUE"""),"agenciarice")</f>
        <v>agenciarice</v>
      </c>
      <c r="C29" s="22" t="str">
        <f ca="1">IFERROR(__xludf.DUMMYFUNCTION("""COMPUTED_VALUE"""),"https://www.instagram.com/lobaopromo?igsh=MWRsZWlyNWI4bmU1aA==")</f>
        <v>https://www.instagram.com/lobaopromo?igsh=MWRsZWlyNWI4bmU1aA==</v>
      </c>
      <c r="D29" s="19">
        <f ca="1">IFERROR(__xludf.DUMMYFUNCTION("""COMPUTED_VALUE"""),12000)</f>
        <v>12000</v>
      </c>
      <c r="E29" s="22" t="str">
        <f ca="1">IFERROR(__xludf.DUMMYFUNCTION("""COMPUTED_VALUE"""),"https://x.com/lobaopromo?s=21")</f>
        <v>https://x.com/lobaopromo?s=21</v>
      </c>
      <c r="F29" s="19">
        <f ca="1">IFERROR(__xludf.DUMMYFUNCTION("""COMPUTED_VALUE"""),224000)</f>
        <v>224000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>
      <c r="A30" s="21">
        <f ca="1">IFERROR(__xludf.DUMMYFUNCTION("""COMPUTED_VALUE"""),1251879558)</f>
        <v>1251879558</v>
      </c>
      <c r="B30" s="19" t="str">
        <f ca="1">IFERROR(__xludf.DUMMYFUNCTION("""COMPUTED_VALUE"""),"qualnotebook")</f>
        <v>qualnotebook</v>
      </c>
      <c r="C30" s="22" t="str">
        <f ca="1">IFERROR(__xludf.DUMMYFUNCTION("""COMPUTED_VALUE"""),"https://www.instagram.com/qualnotebook/")</f>
        <v>https://www.instagram.com/qualnotebook/</v>
      </c>
      <c r="D30" s="19">
        <f ca="1">IFERROR(__xludf.DUMMYFUNCTION("""COMPUTED_VALUE"""),57000)</f>
        <v>57000</v>
      </c>
      <c r="E30" s="22" t="str">
        <f ca="1">IFERROR(__xludf.DUMMYFUNCTION("""COMPUTED_VALUE"""),"https://www.tiktok.com/@qualnotebook/")</f>
        <v>https://www.tiktok.com/@qualnotebook/</v>
      </c>
      <c r="F30" s="19">
        <f ca="1">IFERROR(__xludf.DUMMYFUNCTION("""COMPUTED_VALUE"""),14000)</f>
        <v>14000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>
      <c r="A31" s="21">
        <f ca="1">IFERROR(__xludf.DUMMYFUNCTION("""COMPUTED_VALUE"""),2345017244)</f>
        <v>2345017244</v>
      </c>
      <c r="B31" s="19" t="str">
        <f ca="1">IFERROR(__xludf.DUMMYFUNCTION("""COMPUTED_VALUE"""),"promosinc")</f>
        <v>promosinc</v>
      </c>
      <c r="C31" s="22" t="str">
        <f ca="1">IFERROR(__xludf.DUMMYFUNCTION("""COMPUTED_VALUE"""),"https://www.instagram.com/pegar.promo")</f>
        <v>https://www.instagram.com/pegar.promo</v>
      </c>
      <c r="D31" s="19">
        <f ca="1">IFERROR(__xludf.DUMMYFUNCTION("""COMPUTED_VALUE"""),140)</f>
        <v>140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>
      <c r="A32" s="21">
        <f ca="1">IFERROR(__xludf.DUMMYFUNCTION("""COMPUTED_VALUE"""),1453452471)</f>
        <v>1453452471</v>
      </c>
      <c r="B32" s="19" t="str">
        <f ca="1">IFERROR(__xludf.DUMMYFUNCTION("""COMPUTED_VALUE"""),"Daniel Reenlsober")</f>
        <v>Daniel Reenlsober</v>
      </c>
      <c r="C32" s="22" t="str">
        <f ca="1">IFERROR(__xludf.DUMMYFUNCTION("""COMPUTED_VALUE"""),"https://www.instagram.com/danielreen_")</f>
        <v>https://www.instagram.com/danielreen_</v>
      </c>
      <c r="D32" s="19">
        <f ca="1">IFERROR(__xludf.DUMMYFUNCTION("""COMPUTED_VALUE"""),10800)</f>
        <v>10800</v>
      </c>
      <c r="E32" s="22" t="str">
        <f ca="1">IFERROR(__xludf.DUMMYFUNCTION("""COMPUTED_VALUE"""),"https://www.tiktok.com/@danielreen_")</f>
        <v>https://www.tiktok.com/@danielreen_</v>
      </c>
      <c r="F32" s="19">
        <f ca="1">IFERROR(__xludf.DUMMYFUNCTION("""COMPUTED_VALUE"""),2300)</f>
        <v>2300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>
      <c r="A33" s="21">
        <f ca="1">IFERROR(__xludf.DUMMYFUNCTION("""COMPUTED_VALUE"""),1161200505)</f>
        <v>1161200505</v>
      </c>
      <c r="B33" s="19" t="str">
        <f ca="1">IFERROR(__xludf.DUMMYFUNCTION("""COMPUTED_VALUE"""),"mastertechjr")</f>
        <v>mastertechjr</v>
      </c>
      <c r="C33" s="22" t="str">
        <f ca="1">IFERROR(__xludf.DUMMYFUNCTION("""COMPUTED_VALUE"""),"www.instagran.com/mastertechjr")</f>
        <v>www.instagran.com/mastertechjr</v>
      </c>
      <c r="D33" s="19">
        <f ca="1">IFERROR(__xludf.DUMMYFUNCTION("""COMPUTED_VALUE"""),3019)</f>
        <v>3019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>
      <c r="A34" s="21">
        <f ca="1">IFERROR(__xludf.DUMMYFUNCTION("""COMPUTED_VALUE"""),1374758175)</f>
        <v>1374758175</v>
      </c>
      <c r="B34" s="19" t="str">
        <f ca="1">IFERROR(__xludf.DUMMYFUNCTION("""COMPUTED_VALUE"""),"promotop")</f>
        <v>promotop</v>
      </c>
      <c r="C34" s="22" t="str">
        <f ca="1">IFERROR(__xludf.DUMMYFUNCTION("""COMPUTED_VALUE"""),"https://www.instagram.com/promotopoficial/?hl=pt-br")</f>
        <v>https://www.instagram.com/promotopoficial/?hl=pt-br</v>
      </c>
      <c r="D34" s="19">
        <f ca="1">IFERROR(__xludf.DUMMYFUNCTION("""COMPUTED_VALUE"""),31000)</f>
        <v>31000</v>
      </c>
      <c r="E34" s="22" t="str">
        <f ca="1">IFERROR(__xludf.DUMMYFUNCTION("""COMPUTED_VALUE"""),"https://www.tiktok.com/@canalpromotop")</f>
        <v>https://www.tiktok.com/@canalpromotop</v>
      </c>
      <c r="F34" s="19">
        <f ca="1">IFERROR(__xludf.DUMMYFUNCTION("""COMPUTED_VALUE"""),2300)</f>
        <v>2300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>
      <c r="A35" s="21">
        <f ca="1">IFERROR(__xludf.DUMMYFUNCTION("""COMPUTED_VALUE"""),268850426)</f>
        <v>268850426</v>
      </c>
      <c r="B35" s="19" t="str">
        <f ca="1">IFERROR(__xludf.DUMMYFUNCTION("""COMPUTED_VALUE"""),"jeffrecomenda")</f>
        <v>jeffrecomenda</v>
      </c>
      <c r="C35" s="22" t="str">
        <f ca="1">IFERROR(__xludf.DUMMYFUNCTION("""COMPUTED_VALUE"""),"https://www.instagram.com/jeffrecomenda?igsh=czA1bWVubm16M205")</f>
        <v>https://www.instagram.com/jeffrecomenda?igsh=czA1bWVubm16M205</v>
      </c>
      <c r="D35" s="19">
        <f ca="1">IFERROR(__xludf.DUMMYFUNCTION("""COMPUTED_VALUE"""),38000)</f>
        <v>38000</v>
      </c>
      <c r="E35" s="22" t="str">
        <f ca="1">IFERROR(__xludf.DUMMYFUNCTION("""COMPUTED_VALUE"""),"https://www.tiktok.com/@jeffrecomenda?_t=ZM-8yqmv34HBgM&amp;_r=1")</f>
        <v>https://www.tiktok.com/@jeffrecomenda?_t=ZM-8yqmv34HBgM&amp;_r=1</v>
      </c>
      <c r="F35" s="19">
        <f ca="1">IFERROR(__xludf.DUMMYFUNCTION("""COMPUTED_VALUE"""),27000)</f>
        <v>27000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>
      <c r="A36" s="21">
        <f ca="1">IFERROR(__xludf.DUMMYFUNCTION("""COMPUTED_VALUE"""),1426808500)</f>
        <v>1426808500</v>
      </c>
      <c r="B36" s="19" t="str">
        <f ca="1">IFERROR(__xludf.DUMMYFUNCTION("""COMPUTED_VALUE"""),"promoimperdivel")</f>
        <v>promoimperdivel</v>
      </c>
      <c r="C36" s="22" t="str">
        <f ca="1">IFERROR(__xludf.DUMMYFUNCTION("""COMPUTED_VALUE"""),"instagram.com/promoimperdivel_")</f>
        <v>instagram.com/promoimperdivel_</v>
      </c>
      <c r="D36" s="19">
        <f ca="1">IFERROR(__xludf.DUMMYFUNCTION("""COMPUTED_VALUE"""),8000)</f>
        <v>8000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>
      <c r="A37" s="21">
        <f ca="1">IFERROR(__xludf.DUMMYFUNCTION("""COMPUTED_VALUE"""),1114585317)</f>
        <v>1114585317</v>
      </c>
      <c r="B37" s="19" t="str">
        <f ca="1">IFERROR(__xludf.DUMMYFUNCTION("""COMPUTED_VALUE"""),"bench promos")</f>
        <v>bench promos</v>
      </c>
      <c r="C37" s="22" t="str">
        <f ca="1">IFERROR(__xludf.DUMMYFUNCTION("""COMPUTED_VALUE"""),"https://www.instagram.com/lucas.ishii/")</f>
        <v>https://www.instagram.com/lucas.ishii/</v>
      </c>
      <c r="D37" s="19">
        <f ca="1">IFERROR(__xludf.DUMMYFUNCTION("""COMPUTED_VALUE"""),53200)</f>
        <v>53200</v>
      </c>
      <c r="E37" s="22" t="str">
        <f ca="1">IFERROR(__xludf.DUMMYFUNCTION("""COMPUTED_VALUE"""),"https://www.tiktok.com/@lucas_ishii?lang=pt-BR")</f>
        <v>https://www.tiktok.com/@lucas_ishii?lang=pt-BR</v>
      </c>
      <c r="F37" s="19">
        <f ca="1">IFERROR(__xludf.DUMMYFUNCTION("""COMPUTED_VALUE"""),111700)</f>
        <v>111700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>
      <c r="A38" s="21">
        <f ca="1">IFERROR(__xludf.DUMMYFUNCTION("""COMPUTED_VALUE"""),1370750164)</f>
        <v>1370750164</v>
      </c>
      <c r="B38" s="19" t="str">
        <f ca="1">IFERROR(__xludf.DUMMYFUNCTION("""COMPUTED_VALUE"""),"switchxz")</f>
        <v>switchxz</v>
      </c>
      <c r="C38" s="19" t="str">
        <f ca="1">IFERROR(__xludf.DUMMYFUNCTION("""COMPUTED_VALUE"""),"https://www.instagram.com/linksbrazil (não utilizo)")</f>
        <v>https://www.instagram.com/linksbrazil (não utilizo)</v>
      </c>
      <c r="D38" s="19">
        <f ca="1">IFERROR(__xludf.DUMMYFUNCTION("""COMPUTED_VALUE"""),158)</f>
        <v>158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>
      <c r="A39" s="21">
        <f ca="1">IFERROR(__xludf.DUMMYFUNCTION("""COMPUTED_VALUE"""),251645009)</f>
        <v>251645009</v>
      </c>
      <c r="B39" s="19" t="str">
        <f ca="1">IFERROR(__xludf.DUMMYFUNCTION("""COMPUTED_VALUE"""),"novosprodutos")</f>
        <v>novosprodutos</v>
      </c>
      <c r="C39" s="22" t="str">
        <f ca="1">IFERROR(__xludf.DUMMYFUNCTION("""COMPUTED_VALUE"""),"https://www.instagram.com/novosprodutos")</f>
        <v>https://www.instagram.com/novosprodutos</v>
      </c>
      <c r="D39" s="19">
        <f ca="1">IFERROR(__xludf.DUMMYFUNCTION("""COMPUTED_VALUE"""),4000000)</f>
        <v>4000000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>
      <c r="A40" s="21">
        <f ca="1">IFERROR(__xludf.DUMMYFUNCTION("""COMPUTED_VALUE"""),263391604)</f>
        <v>263391604</v>
      </c>
      <c r="B40" s="19" t="str">
        <f ca="1">IFERROR(__xludf.DUMMYFUNCTION("""COMPUTED_VALUE"""),"so_promocoesdodia")</f>
        <v>so_promocoesdodia</v>
      </c>
      <c r="C40" s="22" t="str">
        <f ca="1">IFERROR(__xludf.DUMMYFUNCTION("""COMPUTED_VALUE"""),"https://www.instagram.com/so_promocoesdodia?igsh=MTBieDVweDN3eXN5eg==")</f>
        <v>https://www.instagram.com/so_promocoesdodia?igsh=MTBieDVweDN3eXN5eg==</v>
      </c>
      <c r="D40" s="19">
        <f ca="1">IFERROR(__xludf.DUMMYFUNCTION("""COMPUTED_VALUE"""),950000)</f>
        <v>950000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>
      <c r="A41" s="21">
        <f ca="1">IFERROR(__xludf.DUMMYFUNCTION("""COMPUTED_VALUE"""),1469910364)</f>
        <v>1469910364</v>
      </c>
      <c r="B41" s="19" t="str">
        <f ca="1">IFERROR(__xludf.DUMMYFUNCTION("""COMPUTED_VALUE"""),"clubedopresidente")</f>
        <v>clubedopresidente</v>
      </c>
      <c r="C41" s="22" t="str">
        <f ca="1">IFERROR(__xludf.DUMMYFUNCTION("""COMPUTED_VALUE"""),"https://www.instagram.com/clubedopresidente/")</f>
        <v>https://www.instagram.com/clubedopresidente/</v>
      </c>
      <c r="D41" s="19">
        <f ca="1">IFERROR(__xludf.DUMMYFUNCTION("""COMPUTED_VALUE"""),161000)</f>
        <v>161000</v>
      </c>
      <c r="E41" s="22" t="str">
        <f ca="1">IFERROR(__xludf.DUMMYFUNCTION("""COMPUTED_VALUE"""),"https://www.tiktok.com/@clubedopresidente?_t=ZM-8xfxfiIojpd&amp;_r=1")</f>
        <v>https://www.tiktok.com/@clubedopresidente?_t=ZM-8xfxfiIojpd&amp;_r=1</v>
      </c>
      <c r="F41" s="19">
        <f ca="1">IFERROR(__xludf.DUMMYFUNCTION("""COMPUTED_VALUE"""),206)</f>
        <v>206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>
      <c r="A42" s="21">
        <f ca="1">IFERROR(__xludf.DUMMYFUNCTION("""COMPUTED_VALUE"""),199199140)</f>
        <v>199199140</v>
      </c>
      <c r="B42" s="19" t="str">
        <f ca="1">IFERROR(__xludf.DUMMYFUNCTION("""COMPUTED_VALUE"""),"techbr")</f>
        <v>techbr</v>
      </c>
      <c r="C42" s="22" t="str">
        <f ca="1">IFERROR(__xludf.DUMMYFUNCTION("""COMPUTED_VALUE"""),"https://www.instagram.com/canaltechbr/profilecard/?igsh=OG1uOTEwa2s5NWd3")</f>
        <v>https://www.instagram.com/canaltechbr/profilecard/?igsh=OG1uOTEwa2s5NWd3</v>
      </c>
      <c r="D42" s="19">
        <f ca="1">IFERROR(__xludf.DUMMYFUNCTION("""COMPUTED_VALUE"""),7800)</f>
        <v>7800</v>
      </c>
      <c r="E42" s="22" t="str">
        <f ca="1">IFERROR(__xludf.DUMMYFUNCTION("""COMPUTED_VALUE"""),"https://www.tiktok.com/@techbrcanal?_t=ZM-8yW6ZmJSSVs&amp;_r=1")</f>
        <v>https://www.tiktok.com/@techbrcanal?_t=ZM-8yW6ZmJSSVs&amp;_r=1</v>
      </c>
      <c r="F42" s="19">
        <f ca="1">IFERROR(__xludf.DUMMYFUNCTION("""COMPUTED_VALUE"""),19800)</f>
        <v>19800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>
      <c r="A43" s="21">
        <f ca="1">IFERROR(__xludf.DUMMYFUNCTION("""COMPUTED_VALUE"""),1461583629)</f>
        <v>1461583629</v>
      </c>
      <c r="B43" s="19" t="str">
        <f ca="1">IFERROR(__xludf.DUMMYFUNCTION("""COMPUTED_VALUE"""),"tempromo")</f>
        <v>tempromo</v>
      </c>
      <c r="C43" s="22" t="str">
        <f ca="1">IFERROR(__xludf.DUMMYFUNCTION("""COMPUTED_VALUE"""),"https://www.instagram.com/tem_promo")</f>
        <v>https://www.instagram.com/tem_promo</v>
      </c>
      <c r="D43" s="19">
        <f ca="1">IFERROR(__xludf.DUMMYFUNCTION("""COMPUTED_VALUE"""),588000)</f>
        <v>588000</v>
      </c>
      <c r="E43" s="22" t="str">
        <f ca="1">IFERROR(__xludf.DUMMYFUNCTION("""COMPUTED_VALUE"""),"https://www.tiktok.com/@tem.promo")</f>
        <v>https://www.tiktok.com/@tem.promo</v>
      </c>
      <c r="F43" s="19">
        <f ca="1">IFERROR(__xludf.DUMMYFUNCTION("""COMPUTED_VALUE"""),188000)</f>
        <v>188000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>
      <c r="A44" s="21">
        <f ca="1">IFERROR(__xludf.DUMMYFUNCTION("""COMPUTED_VALUE"""),1159690723)</f>
        <v>1159690723</v>
      </c>
      <c r="B44" s="19" t="str">
        <f ca="1">IFERROR(__xludf.DUMMYFUNCTION("""COMPUTED_VALUE"""),"techmelhores")</f>
        <v>techmelhores</v>
      </c>
      <c r="C44" s="19" t="str">
        <f ca="1">IFERROR(__xludf.DUMMYFUNCTION("""COMPUTED_VALUE"""),"")</f>
        <v/>
      </c>
      <c r="D44" s="19" t="str">
        <f ca="1">IFERROR(__xludf.DUMMYFUNCTION("""COMPUTED_VALUE"""),"")</f>
        <v/>
      </c>
      <c r="E44" s="19" t="str">
        <f ca="1">IFERROR(__xludf.DUMMYFUNCTION("""COMPUTED_VALUE"""),"")</f>
        <v/>
      </c>
      <c r="F44" s="19" t="str">
        <f ca="1">IFERROR(__xludf.DUMMYFUNCTION("""COMPUTED_VALUE"""),"")</f>
        <v/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>
      <c r="A45" s="21">
        <f ca="1">IFERROR(__xludf.DUMMYFUNCTION("""COMPUTED_VALUE"""),1387667693)</f>
        <v>1387667693</v>
      </c>
      <c r="B45" s="19" t="str">
        <f ca="1">IFERROR(__xludf.DUMMYFUNCTION("""COMPUTED_VALUE"""),"descontoemgames")</f>
        <v>descontoemgames</v>
      </c>
      <c r="C45" s="22" t="str">
        <f ca="1">IFERROR(__xludf.DUMMYFUNCTION("""COMPUTED_VALUE"""),"https://www.instagram.com/descontoemgames")</f>
        <v>https://www.instagram.com/descontoemgames</v>
      </c>
      <c r="D45" s="19">
        <f ca="1">IFERROR(__xludf.DUMMYFUNCTION("""COMPUTED_VALUE"""),23800)</f>
        <v>23800</v>
      </c>
      <c r="E45" s="22" t="str">
        <f ca="1">IFERROR(__xludf.DUMMYFUNCTION("""COMPUTED_VALUE"""),"https://www.tiktok.com/@republicadg")</f>
        <v>https://www.tiktok.com/@republicadg</v>
      </c>
      <c r="F45" s="19">
        <f ca="1">IFERROR(__xludf.DUMMYFUNCTION("""COMPUTED_VALUE"""),1012)</f>
        <v>1012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>
      <c r="A46" s="21">
        <f ca="1">IFERROR(__xludf.DUMMYFUNCTION("""COMPUTED_VALUE"""),2389628095)</f>
        <v>2389628095</v>
      </c>
      <c r="B46" s="19" t="str">
        <f ca="1">IFERROR(__xludf.DUMMYFUNCTION("""COMPUTED_VALUE"""),"ofcprominho")</f>
        <v>ofcprominho</v>
      </c>
      <c r="C46" s="22" t="str">
        <f ca="1">IFERROR(__xludf.DUMMYFUNCTION("""COMPUTED_VALUE"""),"https://x.com/ofcpromo")</f>
        <v>https://x.com/ofcpromo</v>
      </c>
      <c r="D46" s="19">
        <f ca="1">IFERROR(__xludf.DUMMYFUNCTION("""COMPUTED_VALUE"""),381000)</f>
        <v>381000</v>
      </c>
      <c r="E46" s="22" t="str">
        <f ca="1">IFERROR(__xludf.DUMMYFUNCTION("""COMPUTED_VALUE"""),"https://x.com/ofctenis")</f>
        <v>https://x.com/ofctenis</v>
      </c>
      <c r="F46" s="19">
        <f ca="1">IFERROR(__xludf.DUMMYFUNCTION("""COMPUTED_VALUE"""),95000)</f>
        <v>95000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>
      <c r="A47" s="21">
        <f ca="1">IFERROR(__xludf.DUMMYFUNCTION("""COMPUTED_VALUE"""),1424070748)</f>
        <v>1424070748</v>
      </c>
      <c r="B47" s="19" t="str">
        <f ca="1">IFERROR(__xludf.DUMMYFUNCTION("""COMPUTED_VALUE"""),"lapromotion")</f>
        <v>lapromotion</v>
      </c>
      <c r="C47" s="22" t="str">
        <f ca="1">IFERROR(__xludf.DUMMYFUNCTION("""COMPUTED_VALUE"""),"https://instagram.com/lapromotion_")</f>
        <v>https://instagram.com/lapromotion_</v>
      </c>
      <c r="D47" s="19">
        <f ca="1">IFERROR(__xludf.DUMMYFUNCTION("""COMPUTED_VALUE"""),42000)</f>
        <v>42000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>
      <c r="A48" s="21">
        <f ca="1">IFERROR(__xludf.DUMMYFUNCTION("""COMPUTED_VALUE"""),15665498)</f>
        <v>15665498</v>
      </c>
      <c r="B48" s="19" t="str">
        <f ca="1">IFERROR(__xludf.DUMMYFUNCTION("""COMPUTED_VALUE"""),"kotas")</f>
        <v>kotas</v>
      </c>
      <c r="C48" s="22" t="str">
        <f ca="1">IFERROR(__xludf.DUMMYFUNCTION("""COMPUTED_VALUE"""),"https://www.instagram.com/clube.kotas/")</f>
        <v>https://www.instagram.com/clube.kotas/</v>
      </c>
      <c r="D48" s="19">
        <f ca="1">IFERROR(__xludf.DUMMYFUNCTION("""COMPUTED_VALUE"""),2000)</f>
        <v>2000</v>
      </c>
      <c r="E48" s="22" t="str">
        <f ca="1">IFERROR(__xludf.DUMMYFUNCTION("""COMPUTED_VALUE"""),"https://www.tiktok.com/@clube.kotas")</f>
        <v>https://www.tiktok.com/@clube.kotas</v>
      </c>
      <c r="F48" s="19">
        <f ca="1">IFERROR(__xludf.DUMMYFUNCTION("""COMPUTED_VALUE"""),5000)</f>
        <v>5000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>
      <c r="A49" s="21">
        <f ca="1">IFERROR(__xludf.DUMMYFUNCTION("""COMPUTED_VALUE"""),521028663)</f>
        <v>521028663</v>
      </c>
      <c r="B49" s="19" t="str">
        <f ca="1">IFERROR(__xludf.DUMMYFUNCTION("""COMPUTED_VALUE"""),"promotecgames")</f>
        <v>promotecgames</v>
      </c>
      <c r="C49" s="19" t="str">
        <f ca="1">IFERROR(__xludf.DUMMYFUNCTION("""COMPUTED_VALUE"""),"https://www.instagram.com/promotecgames/ e https://www.instagram.com/promotecdescontos/")</f>
        <v>https://www.instagram.com/promotecgames/ e https://www.instagram.com/promotecdescontos/</v>
      </c>
      <c r="D49" s="19">
        <f ca="1">IFERROR(__xludf.DUMMYFUNCTION("""COMPUTED_VALUE"""),22000)</f>
        <v>22000</v>
      </c>
      <c r="E49" s="22" t="str">
        <f ca="1">IFERROR(__xludf.DUMMYFUNCTION("""COMPUTED_VALUE"""),"https://www.tiktok.com/@promotecgames")</f>
        <v>https://www.tiktok.com/@promotecgames</v>
      </c>
      <c r="F49" s="19">
        <f ca="1">IFERROR(__xludf.DUMMYFUNCTION("""COMPUTED_VALUE"""),1590)</f>
        <v>1590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>
      <c r="A50" s="21">
        <f ca="1">IFERROR(__xludf.DUMMYFUNCTION("""COMPUTED_VALUE"""),150242200)</f>
        <v>150242200</v>
      </c>
      <c r="B50" s="19" t="str">
        <f ca="1">IFERROR(__xludf.DUMMYFUNCTION("""COMPUTED_VALUE"""),"preguicaofertas")</f>
        <v>preguicaofertas</v>
      </c>
      <c r="C50" s="22" t="str">
        <f ca="1">IFERROR(__xludf.DUMMYFUNCTION("""COMPUTED_VALUE"""),"https://www.instagram.com/preguicaofertas/")</f>
        <v>https://www.instagram.com/preguicaofertas/</v>
      </c>
      <c r="D50" s="19">
        <f ca="1">IFERROR(__xludf.DUMMYFUNCTION("""COMPUTED_VALUE"""),3500)</f>
        <v>3500</v>
      </c>
      <c r="E50" s="22" t="str">
        <f ca="1">IFERROR(__xludf.DUMMYFUNCTION("""COMPUTED_VALUE"""),"https://x.com/preguicaofertas")</f>
        <v>https://x.com/preguicaofertas</v>
      </c>
      <c r="F50" s="19">
        <f ca="1">IFERROR(__xludf.DUMMYFUNCTION("""COMPUTED_VALUE"""),61800)</f>
        <v>61800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>
      <c r="A51" s="21">
        <f ca="1">IFERROR(__xludf.DUMMYFUNCTION("""COMPUTED_VALUE"""),1446287023)</f>
        <v>1446287023</v>
      </c>
      <c r="B51" s="19" t="str">
        <f ca="1">IFERROR(__xludf.DUMMYFUNCTION("""COMPUTED_VALUE"""),"garimpeiofertas")</f>
        <v>garimpeiofertas</v>
      </c>
      <c r="C51" s="22" t="str">
        <f ca="1">IFERROR(__xludf.DUMMYFUNCTION("""COMPUTED_VALUE"""),"https://www.instagram.com/garimpei.ofertas/")</f>
        <v>https://www.instagram.com/garimpei.ofertas/</v>
      </c>
      <c r="D51" s="19">
        <f ca="1">IFERROR(__xludf.DUMMYFUNCTION("""COMPUTED_VALUE"""),180000)</f>
        <v>180000</v>
      </c>
      <c r="E51" s="22" t="str">
        <f ca="1">IFERROR(__xludf.DUMMYFUNCTION("""COMPUTED_VALUE"""),"https://www.tiktok.com/@garimpeiofertasoficial?_t=ZM-8xgGGnDzwt3&amp;_r=")</f>
        <v>https://www.tiktok.com/@garimpeiofertasoficial?_t=ZM-8xgGGnDzwt3&amp;_r=</v>
      </c>
      <c r="F51" s="19">
        <f ca="1">IFERROR(__xludf.DUMMYFUNCTION("""COMPUTED_VALUE"""),670)</f>
        <v>670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>
      <c r="A52" s="21">
        <f ca="1">IFERROR(__xludf.DUMMYFUNCTION("""COMPUTED_VALUE"""),268300847)</f>
        <v>268300847</v>
      </c>
      <c r="B52" s="19" t="str">
        <f ca="1">IFERROR(__xludf.DUMMYFUNCTION("""COMPUTED_VALUE"""),"matheuskise")</f>
        <v>matheuskise</v>
      </c>
      <c r="C52" s="22" t="str">
        <f ca="1">IFERROR(__xludf.DUMMYFUNCTION("""COMPUTED_VALUE"""),"http://instagram.com/matheuskise/")</f>
        <v>http://instagram.com/matheuskise/</v>
      </c>
      <c r="D52" s="19">
        <f ca="1">IFERROR(__xludf.DUMMYFUNCTION("""COMPUTED_VALUE"""),110000)</f>
        <v>110000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>
      <c r="A53" s="21">
        <f ca="1">IFERROR(__xludf.DUMMYFUNCTION("""COMPUTED_VALUE"""),1427325193)</f>
        <v>1427325193</v>
      </c>
      <c r="B53" s="19" t="str">
        <f ca="1">IFERROR(__xludf.DUMMYFUNCTION("""COMPUTED_VALUE"""),"tabaratasso")</f>
        <v>tabaratasso</v>
      </c>
      <c r="C53" s="22" t="str">
        <f ca="1">IFERROR(__xludf.DUMMYFUNCTION("""COMPUTED_VALUE"""),"https://www.instagram.com/tabaratasso?igsh=MWdmYWhhcnphZmZ5bg%3D%3D&amp;utm_source=qr")</f>
        <v>https://www.instagram.com/tabaratasso?igsh=MWdmYWhhcnphZmZ5bg%3D%3D&amp;utm_source=qr</v>
      </c>
      <c r="D53" s="19">
        <f ca="1">IFERROR(__xludf.DUMMYFUNCTION("""COMPUTED_VALUE"""),97000)</f>
        <v>97000</v>
      </c>
      <c r="E53" s="22" t="str">
        <f ca="1">IFERROR(__xludf.DUMMYFUNCTION("""COMPUTED_VALUE"""),"https://www.tiktok.com/@tabaratasso?_t=ZM-8xhtvV1QOAQ&amp;_r=1")</f>
        <v>https://www.tiktok.com/@tabaratasso?_t=ZM-8xhtvV1QOAQ&amp;_r=1</v>
      </c>
      <c r="F53" s="19">
        <f ca="1">IFERROR(__xludf.DUMMYFUNCTION("""COMPUTED_VALUE"""),107712)</f>
        <v>107712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>
      <c r="A54" s="21">
        <f ca="1">IFERROR(__xludf.DUMMYFUNCTION("""COMPUTED_VALUE"""),798617488)</f>
        <v>798617488</v>
      </c>
      <c r="B54" s="19" t="str">
        <f ca="1">IFERROR(__xludf.DUMMYFUNCTION("""COMPUTED_VALUE"""),"Fraguas84")</f>
        <v>Fraguas84</v>
      </c>
      <c r="C54" s="22" t="str">
        <f ca="1">IFERROR(__xludf.DUMMYFUNCTION("""COMPUTED_VALUE"""),"https://www.instagram.com/fraguas84/")</f>
        <v>https://www.instagram.com/fraguas84/</v>
      </c>
      <c r="D54" s="19">
        <f ca="1">IFERROR(__xludf.DUMMYFUNCTION("""COMPUTED_VALUE"""),67000)</f>
        <v>67000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>
      <c r="A55" s="21">
        <f ca="1">IFERROR(__xludf.DUMMYFUNCTION("""COMPUTED_VALUE"""),1342941619)</f>
        <v>1342941619</v>
      </c>
      <c r="B55" s="19" t="str">
        <f ca="1">IFERROR(__xludf.DUMMYFUNCTION("""COMPUTED_VALUE"""),"tecvariedades")</f>
        <v>tecvariedades</v>
      </c>
      <c r="C55" s="22" t="str">
        <f ca="1">IFERROR(__xludf.DUMMYFUNCTION("""COMPUTED_VALUE"""),"https://www.instagram.com/tech_variedadesoficial")</f>
        <v>https://www.instagram.com/tech_variedadesoficial</v>
      </c>
      <c r="D55" s="19">
        <f ca="1">IFERROR(__xludf.DUMMYFUNCTION("""COMPUTED_VALUE"""),23000)</f>
        <v>23000</v>
      </c>
      <c r="E55" s="22" t="str">
        <f ca="1">IFERROR(__xludf.DUMMYFUNCTION("""COMPUTED_VALUE"""),"https://www.tiktok.com/@tech_variedadesoficial")</f>
        <v>https://www.tiktok.com/@tech_variedadesoficial</v>
      </c>
      <c r="F55" s="19">
        <f ca="1">IFERROR(__xludf.DUMMYFUNCTION("""COMPUTED_VALUE"""),61000)</f>
        <v>61000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>
      <c r="A56" s="21">
        <f ca="1">IFERROR(__xludf.DUMMYFUNCTION("""COMPUTED_VALUE"""),678610452)</f>
        <v>678610452</v>
      </c>
      <c r="B56" s="19" t="str">
        <f ca="1">IFERROR(__xludf.DUMMYFUNCTION("""COMPUTED_VALUE"""),"samuelf3lipe")</f>
        <v>samuelf3lipe</v>
      </c>
      <c r="C56" s="22" t="str">
        <f ca="1">IFERROR(__xludf.DUMMYFUNCTION("""COMPUTED_VALUE"""),"https://www.instagram.com/samuelf3lipe")</f>
        <v>https://www.instagram.com/samuelf3lipe</v>
      </c>
      <c r="D56" s="19">
        <f ca="1">IFERROR(__xludf.DUMMYFUNCTION("""COMPUTED_VALUE"""),5)</f>
        <v>5</v>
      </c>
      <c r="E56" s="22" t="str">
        <f ca="1">IFERROR(__xludf.DUMMYFUNCTION("""COMPUTED_VALUE"""),"https://www.tiktok.com/@samuelf3lipe_")</f>
        <v>https://www.tiktok.com/@samuelf3lipe_</v>
      </c>
      <c r="F56" s="19">
        <f ca="1">IFERROR(__xludf.DUMMYFUNCTION("""COMPUTED_VALUE"""),56000)</f>
        <v>56000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>
      <c r="A57" s="21">
        <f ca="1">IFERROR(__xludf.DUMMYFUNCTION("""COMPUTED_VALUE"""),2457362902)</f>
        <v>2457362902</v>
      </c>
      <c r="B57" s="19" t="str">
        <f ca="1">IFERROR(__xludf.DUMMYFUNCTION("""COMPUTED_VALUE"""),"promosdebrother")</f>
        <v>promosdebrother</v>
      </c>
      <c r="C57" s="19" t="str">
        <f ca="1">IFERROR(__xludf.DUMMYFUNCTION("""COMPUTED_VALUE"""),"")</f>
        <v/>
      </c>
      <c r="D57" s="19" t="str">
        <f ca="1">IFERROR(__xludf.DUMMYFUNCTION("""COMPUTED_VALUE"""),"")</f>
        <v/>
      </c>
      <c r="E57" s="19" t="str">
        <f ca="1">IFERROR(__xludf.DUMMYFUNCTION("""COMPUTED_VALUE"""),"")</f>
        <v/>
      </c>
      <c r="F57" s="19" t="str">
        <f ca="1">IFERROR(__xludf.DUMMYFUNCTION("""COMPUTED_VALUE"""),"")</f>
        <v/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>
      <c r="A58" s="21">
        <f ca="1">IFERROR(__xludf.DUMMYFUNCTION("""COMPUTED_VALUE"""),44352982)</f>
        <v>44352982</v>
      </c>
      <c r="B58" s="19" t="str">
        <f ca="1">IFERROR(__xludf.DUMMYFUNCTION("""COMPUTED_VALUE"""),"tjgaming")</f>
        <v>tjgaming</v>
      </c>
      <c r="C58" s="22" t="str">
        <f ca="1">IFERROR(__xludf.DUMMYFUNCTION("""COMPUTED_VALUE"""),"https://www.instagram.com/tjgamingbr")</f>
        <v>https://www.instagram.com/tjgamingbr</v>
      </c>
      <c r="D58" s="19">
        <f ca="1">IFERROR(__xludf.DUMMYFUNCTION("""COMPUTED_VALUE"""),133000)</f>
        <v>133000</v>
      </c>
      <c r="E58" s="22" t="str">
        <f ca="1">IFERROR(__xludf.DUMMYFUNCTION("""COMPUTED_VALUE"""),"https://www.tiktok.com/@tjgamingbr_?_t=ZM-8z4IhQdgP4A&amp;_r=1")</f>
        <v>https://www.tiktok.com/@tjgamingbr_?_t=ZM-8z4IhQdgP4A&amp;_r=1</v>
      </c>
      <c r="F58" s="19">
        <f ca="1">IFERROR(__xludf.DUMMYFUNCTION("""COMPUTED_VALUE"""),433400)</f>
        <v>433400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>
      <c r="A59" s="21">
        <f ca="1">IFERROR(__xludf.DUMMYFUNCTION("""COMPUTED_VALUE"""),330532268)</f>
        <v>330532268</v>
      </c>
      <c r="B59" s="19" t="str">
        <f ca="1">IFERROR(__xludf.DUMMYFUNCTION("""COMPUTED_VALUE"""),"achadosempromo")</f>
        <v>achadosempromo</v>
      </c>
      <c r="C59" s="22" t="str">
        <f ca="1">IFERROR(__xludf.DUMMYFUNCTION("""COMPUTED_VALUE"""),"https://www.instagram.com/achados.em.promo")</f>
        <v>https://www.instagram.com/achados.em.promo</v>
      </c>
      <c r="D59" s="19">
        <f ca="1">IFERROR(__xludf.DUMMYFUNCTION("""COMPUTED_VALUE"""),540000)</f>
        <v>540000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>
      <c r="A60" s="21">
        <f ca="1">IFERROR(__xludf.DUMMYFUNCTION("""COMPUTED_VALUE"""),1399249654)</f>
        <v>1399249654</v>
      </c>
      <c r="B60" s="19" t="str">
        <f ca="1">IFERROR(__xludf.DUMMYFUNCTION("""COMPUTED_VALUE"""),"garimpeiros")</f>
        <v>garimpeiros</v>
      </c>
      <c r="C60" s="22" t="str">
        <f ca="1">IFERROR(__xludf.DUMMYFUNCTION("""COMPUTED_VALUE"""),"https://instagram.com/garimpeirosoficial")</f>
        <v>https://instagram.com/garimpeirosoficial</v>
      </c>
      <c r="D60" s="19">
        <f ca="1">IFERROR(__xludf.DUMMYFUNCTION("""COMPUTED_VALUE"""),254000)</f>
        <v>254000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>
      <c r="A61" s="21">
        <f ca="1">IFERROR(__xludf.DUMMYFUNCTION("""COMPUTED_VALUE"""),149518102)</f>
        <v>149518102</v>
      </c>
      <c r="B61" s="19" t="str">
        <f ca="1">IFERROR(__xludf.DUMMYFUNCTION("""COMPUTED_VALUE"""),"bizudaspromocoes")</f>
        <v>bizudaspromocoes</v>
      </c>
      <c r="C61" s="22" t="str">
        <f ca="1">IFERROR(__xludf.DUMMYFUNCTION("""COMPUTED_VALUE"""),"https://www.instagram.com/bizudaspromocoes/")</f>
        <v>https://www.instagram.com/bizudaspromocoes/</v>
      </c>
      <c r="D61" s="19">
        <f ca="1">IFERROR(__xludf.DUMMYFUNCTION("""COMPUTED_VALUE"""),358000)</f>
        <v>358000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>
      <c r="A62" s="21">
        <f ca="1">IFERROR(__xludf.DUMMYFUNCTION("""COMPUTED_VALUE"""),1156310262)</f>
        <v>1156310262</v>
      </c>
      <c r="B62" s="19" t="str">
        <f ca="1">IFERROR(__xludf.DUMMYFUNCTION("""COMPUTED_VALUE"""),"sddescontos")</f>
        <v>sddescontos</v>
      </c>
      <c r="C62" s="22" t="str">
        <f ca="1">IFERROR(__xludf.DUMMYFUNCTION("""COMPUTED_VALUE"""),"https://www.instagram.com/sddescontos?igsh=ZnRycXduNWl4c2Fp")</f>
        <v>https://www.instagram.com/sddescontos?igsh=ZnRycXduNWl4c2Fp</v>
      </c>
      <c r="D62" s="19">
        <f ca="1">IFERROR(__xludf.DUMMYFUNCTION("""COMPUTED_VALUE"""),6000)</f>
        <v>6000</v>
      </c>
      <c r="E62" s="22" t="str">
        <f ca="1">IFERROR(__xludf.DUMMYFUNCTION("""COMPUTED_VALUE"""),"https://www.tiktok.com/@sddescontos?_t=ZM-8xhjbOzsii0&amp;_r=1")</f>
        <v>https://www.tiktok.com/@sddescontos?_t=ZM-8xhjbOzsii0&amp;_r=1</v>
      </c>
      <c r="F62" s="19">
        <f ca="1">IFERROR(__xludf.DUMMYFUNCTION("""COMPUTED_VALUE"""),200)</f>
        <v>200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>
      <c r="A63" s="21">
        <f ca="1">IFERROR(__xludf.DUMMYFUNCTION("""COMPUTED_VALUE"""),1365511504)</f>
        <v>1365511504</v>
      </c>
      <c r="B63" s="19" t="str">
        <f ca="1">IFERROR(__xludf.DUMMYFUNCTION("""COMPUTED_VALUE"""),"geekloko")</f>
        <v>geekloko</v>
      </c>
      <c r="C63" s="22" t="str">
        <f ca="1">IFERROR(__xludf.DUMMYFUNCTION("""COMPUTED_VALUE"""),"https://www.instagram.com/geek.loko")</f>
        <v>https://www.instagram.com/geek.loko</v>
      </c>
      <c r="D63" s="19">
        <f ca="1">IFERROR(__xludf.DUMMYFUNCTION("""COMPUTED_VALUE"""),64000)</f>
        <v>64000</v>
      </c>
      <c r="E63" s="22" t="str">
        <f ca="1">IFERROR(__xludf.DUMMYFUNCTION("""COMPUTED_VALUE"""),"https://www.tiktok.com/@geek.loko")</f>
        <v>https://www.tiktok.com/@geek.loko</v>
      </c>
      <c r="F63" s="19">
        <f ca="1">IFERROR(__xludf.DUMMYFUNCTION("""COMPUTED_VALUE"""),8100)</f>
        <v>8100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>
      <c r="A64" s="21">
        <f ca="1">IFERROR(__xludf.DUMMYFUNCTION("""COMPUTED_VALUE"""),1420365380)</f>
        <v>1420365380</v>
      </c>
      <c r="B64" s="19" t="str">
        <f ca="1">IFERROR(__xludf.DUMMYFUNCTION("""COMPUTED_VALUE"""),"pincei")</f>
        <v>pincei</v>
      </c>
      <c r="C64" s="22" t="str">
        <f ca="1">IFERROR(__xludf.DUMMYFUNCTION("""COMPUTED_VALUE"""),"https://www.instagram.com/pinceiofertas?igsh=MTNtemlyYmF5a2dwcQ==")</f>
        <v>https://www.instagram.com/pinceiofertas?igsh=MTNtemlyYmF5a2dwcQ==</v>
      </c>
      <c r="D64" s="19">
        <f ca="1">IFERROR(__xludf.DUMMYFUNCTION("""COMPUTED_VALUE"""),700000)</f>
        <v>700000</v>
      </c>
      <c r="E64" s="22" t="str">
        <f ca="1">IFERROR(__xludf.DUMMYFUNCTION("""COMPUTED_VALUE"""),"https://www.tiktok.com/@pinceiofertas?_t=ZM-8ysPAlXUzzC&amp;_r=1")</f>
        <v>https://www.tiktok.com/@pinceiofertas?_t=ZM-8ysPAlXUzzC&amp;_r=1</v>
      </c>
      <c r="F64" s="19">
        <f ca="1">IFERROR(__xludf.DUMMYFUNCTION("""COMPUTED_VALUE"""),200000)</f>
        <v>200000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>
      <c r="A65" s="21">
        <f ca="1">IFERROR(__xludf.DUMMYFUNCTION("""COMPUTED_VALUE"""),1185718745)</f>
        <v>1185718745</v>
      </c>
      <c r="B65" s="19" t="str">
        <f ca="1">IFERROR(__xludf.DUMMYFUNCTION("""COMPUTED_VALUE"""),"ofertasgamer")</f>
        <v>ofertasgamer</v>
      </c>
      <c r="C65" s="22" t="str">
        <f ca="1">IFERROR(__xludf.DUMMYFUNCTION("""COMPUTED_VALUE"""),"https://www.instagram.com/ofertasgamer_oficial/")</f>
        <v>https://www.instagram.com/ofertasgamer_oficial/</v>
      </c>
      <c r="D65" s="19">
        <f ca="1">IFERROR(__xludf.DUMMYFUNCTION("""COMPUTED_VALUE"""),10200)</f>
        <v>10200</v>
      </c>
      <c r="E65" s="22" t="str">
        <f ca="1">IFERROR(__xludf.DUMMYFUNCTION("""COMPUTED_VALUE"""),"https://www.tiktok.com/@ofertasgamer_oficial")</f>
        <v>https://www.tiktok.com/@ofertasgamer_oficial</v>
      </c>
      <c r="F65" s="19">
        <f ca="1">IFERROR(__xludf.DUMMYFUNCTION("""COMPUTED_VALUE"""),3743)</f>
        <v>3743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>
      <c r="A66" s="21">
        <f ca="1">IFERROR(__xludf.DUMMYFUNCTION("""COMPUTED_VALUE"""),1434694534)</f>
        <v>1434694534</v>
      </c>
      <c r="B66" s="19" t="str">
        <f ca="1">IFERROR(__xludf.DUMMYFUNCTION("""COMPUTED_VALUE"""),"jogobarato")</f>
        <v>jogobarato</v>
      </c>
      <c r="C66" s="19" t="str">
        <f ca="1">IFERROR(__xludf.DUMMYFUNCTION("""COMPUTED_VALUE"""),"")</f>
        <v/>
      </c>
      <c r="D66" s="19" t="str">
        <f ca="1">IFERROR(__xludf.DUMMYFUNCTION("""COMPUTED_VALUE"""),"")</f>
        <v/>
      </c>
      <c r="E66" s="19" t="str">
        <f ca="1">IFERROR(__xludf.DUMMYFUNCTION("""COMPUTED_VALUE"""),"")</f>
        <v/>
      </c>
      <c r="F66" s="19" t="str">
        <f ca="1">IFERROR(__xludf.DUMMYFUNCTION("""COMPUTED_VALUE"""),"")</f>
        <v/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>
      <c r="A67" s="21">
        <f ca="1">IFERROR(__xludf.DUMMYFUNCTION("""COMPUTED_VALUE"""),1947955373)</f>
        <v>1947955373</v>
      </c>
      <c r="B67" s="19" t="str">
        <f ca="1">IFERROR(__xludf.DUMMYFUNCTION("""COMPUTED_VALUE"""),"guerradealsfit")</f>
        <v>guerradealsfit</v>
      </c>
      <c r="C67" s="22" t="str">
        <f ca="1">IFERROR(__xludf.DUMMYFUNCTION("""COMPUTED_VALUE"""),"https://www.instagram.com/guerradealsfit")</f>
        <v>https://www.instagram.com/guerradealsfit</v>
      </c>
      <c r="D67" s="19">
        <f ca="1">IFERROR(__xludf.DUMMYFUNCTION("""COMPUTED_VALUE"""),40000)</f>
        <v>40000</v>
      </c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>
      <c r="A68" s="21">
        <f ca="1">IFERROR(__xludf.DUMMYFUNCTION("""COMPUTED_VALUE"""),2569994453)</f>
        <v>2569994453</v>
      </c>
      <c r="B68" s="19" t="str">
        <f ca="1">IFERROR(__xludf.DUMMYFUNCTION("""COMPUTED_VALUE"""),"OLHADAPROMOS")</f>
        <v>OLHADAPROMOS</v>
      </c>
      <c r="C68" s="19" t="str">
        <f ca="1">IFERROR(__xludf.DUMMYFUNCTION("""COMPUTED_VALUE"""),"")</f>
        <v/>
      </c>
      <c r="D68" s="19" t="str">
        <f ca="1">IFERROR(__xludf.DUMMYFUNCTION("""COMPUTED_VALUE"""),"")</f>
        <v/>
      </c>
      <c r="E68" s="19" t="str">
        <f ca="1">IFERROR(__xludf.DUMMYFUNCTION("""COMPUTED_VALUE"""),"")</f>
        <v/>
      </c>
      <c r="F68" s="19" t="str">
        <f ca="1">IFERROR(__xludf.DUMMYFUNCTION("""COMPUTED_VALUE"""),"")</f>
        <v/>
      </c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>
      <c r="A69" s="21">
        <f ca="1">IFERROR(__xludf.DUMMYFUNCTION("""COMPUTED_VALUE"""),1082097965)</f>
        <v>1082097965</v>
      </c>
      <c r="B69" s="19" t="str">
        <f ca="1">IFERROR(__xludf.DUMMYFUNCTION("""COMPUTED_VALUE"""),"Promobyte")</f>
        <v>Promobyte</v>
      </c>
      <c r="C69" s="22" t="str">
        <f ca="1">IFERROR(__xludf.DUMMYFUNCTION("""COMPUTED_VALUE"""),"https://www.instagram.com/promobyteoficial")</f>
        <v>https://www.instagram.com/promobyteoficial</v>
      </c>
      <c r="D69" s="19">
        <f ca="1">IFERROR(__xludf.DUMMYFUNCTION("""COMPUTED_VALUE"""),11000)</f>
        <v>11000</v>
      </c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>
      <c r="A70" s="21">
        <f ca="1">IFERROR(__xludf.DUMMYFUNCTION("""COMPUTED_VALUE"""),1365706499)</f>
        <v>1365706499</v>
      </c>
      <c r="B70" s="19" t="str">
        <f ca="1">IFERROR(__xludf.DUMMYFUNCTION("""COMPUTED_VALUE"""),"peperaio")</f>
        <v>peperaio</v>
      </c>
      <c r="C70" s="22" t="str">
        <f ca="1">IFERROR(__xludf.DUMMYFUNCTION("""COMPUTED_VALUE"""),"http://instagram.com/lucaspeperaio")</f>
        <v>http://instagram.com/lucaspeperaio</v>
      </c>
      <c r="D70" s="19">
        <f ca="1">IFERROR(__xludf.DUMMYFUNCTION("""COMPUTED_VALUE"""),8954)</f>
        <v>8954</v>
      </c>
      <c r="E70" s="19" t="str">
        <f ca="1">IFERROR(__xludf.DUMMYFUNCTION("""COMPUTED_VALUE"""),"https://www.youtube.com/@PeperaioHardware (esta é a minha rede principal)")</f>
        <v>https://www.youtube.com/@PeperaioHardware (esta é a minha rede principal)</v>
      </c>
      <c r="F70" s="19">
        <f ca="1">IFERROR(__xludf.DUMMYFUNCTION("""COMPUTED_VALUE"""),332000)</f>
        <v>332000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>
      <c r="A71" s="21">
        <f ca="1">IFERROR(__xludf.DUMMYFUNCTION("""COMPUTED_VALUE"""),1369622787)</f>
        <v>1369622787</v>
      </c>
      <c r="B71" s="19" t="str">
        <f ca="1">IFERROR(__xludf.DUMMYFUNCTION("""COMPUTED_VALUE"""),"uduluiz")</f>
        <v>uduluiz</v>
      </c>
      <c r="C71" s="22" t="str">
        <f ca="1">IFERROR(__xludf.DUMMYFUNCTION("""COMPUTED_VALUE"""),"https://www.instagram.com/bugueycomprey/")</f>
        <v>https://www.instagram.com/bugueycomprey/</v>
      </c>
      <c r="D71" s="19">
        <f ca="1">IFERROR(__xludf.DUMMYFUNCTION("""COMPUTED_VALUE"""),1700)</f>
        <v>1700</v>
      </c>
      <c r="E71" s="22" t="str">
        <f ca="1">IFERROR(__xludf.DUMMYFUNCTION("""COMPUTED_VALUE"""),"https://www.tiktok.com/@uduluiz")</f>
        <v>https://www.tiktok.com/@uduluiz</v>
      </c>
      <c r="F71" s="19">
        <f ca="1">IFERROR(__xludf.DUMMYFUNCTION("""COMPUTED_VALUE"""),9600)</f>
        <v>9600</v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>
      <c r="A72" s="21">
        <f ca="1">IFERROR(__xludf.DUMMYFUNCTION("""COMPUTED_VALUE"""),1434918733)</f>
        <v>1434918733</v>
      </c>
      <c r="B72" s="19" t="str">
        <f ca="1">IFERROR(__xludf.DUMMYFUNCTION("""COMPUTED_VALUE"""),"babypromokids")</f>
        <v>babypromokids</v>
      </c>
      <c r="C72" s="22" t="str">
        <f ca="1">IFERROR(__xludf.DUMMYFUNCTION("""COMPUTED_VALUE"""),"https://www.instagram.com/babypromokids/")</f>
        <v>https://www.instagram.com/babypromokids/</v>
      </c>
      <c r="D72" s="19">
        <f ca="1">IFERROR(__xludf.DUMMYFUNCTION("""COMPUTED_VALUE"""),999000)</f>
        <v>999000</v>
      </c>
      <c r="E72" s="22" t="str">
        <f ca="1">IFERROR(__xludf.DUMMYFUNCTION("""COMPUTED_VALUE"""),"https://www.tiktok.com/@babypromokids")</f>
        <v>https://www.tiktok.com/@babypromokids</v>
      </c>
      <c r="F72" s="19">
        <f ca="1">IFERROR(__xludf.DUMMYFUNCTION("""COMPUTED_VALUE"""),98000)</f>
        <v>98000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>
      <c r="A73" s="21">
        <f ca="1">IFERROR(__xludf.DUMMYFUNCTION("""COMPUTED_VALUE"""),2046114897)</f>
        <v>2046114897</v>
      </c>
      <c r="B73" s="19" t="str">
        <f ca="1">IFERROR(__xludf.DUMMYFUNCTION("""COMPUTED_VALUE"""),"fadadoscupons")</f>
        <v>fadadoscupons</v>
      </c>
      <c r="C73" s="22" t="str">
        <f ca="1">IFERROR(__xludf.DUMMYFUNCTION("""COMPUTED_VALUE"""),"https://www.instagram.com/ninjaofertas_/")</f>
        <v>https://www.instagram.com/ninjaofertas_/</v>
      </c>
      <c r="D73" s="19">
        <f ca="1">IFERROR(__xludf.DUMMYFUNCTION("""COMPUTED_VALUE"""),7200)</f>
        <v>7200</v>
      </c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>
      <c r="A74" s="21">
        <f ca="1">IFERROR(__xludf.DUMMYFUNCTION("""COMPUTED_VALUE"""),1451916544)</f>
        <v>1451916544</v>
      </c>
      <c r="B74" s="19" t="str">
        <f ca="1">IFERROR(__xludf.DUMMYFUNCTION("""COMPUTED_VALUE"""),"tosemkit")</f>
        <v>tosemkit</v>
      </c>
      <c r="C74" s="22" t="str">
        <f ca="1">IFERROR(__xludf.DUMMYFUNCTION("""COMPUTED_VALUE"""),"https://www.instagram.com/tosemkit/")</f>
        <v>https://www.instagram.com/tosemkit/</v>
      </c>
      <c r="D74" s="19">
        <f ca="1">IFERROR(__xludf.DUMMYFUNCTION("""COMPUTED_VALUE"""),240000)</f>
        <v>240000</v>
      </c>
      <c r="E74" s="22" t="str">
        <f ca="1">IFERROR(__xludf.DUMMYFUNCTION("""COMPUTED_VALUE"""),"https://www.tiktok.com/@tosemkit")</f>
        <v>https://www.tiktok.com/@tosemkit</v>
      </c>
      <c r="F74" s="19">
        <f ca="1">IFERROR(__xludf.DUMMYFUNCTION("""COMPUTED_VALUE"""),324000)</f>
        <v>324000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>
      <c r="A75" s="21">
        <f ca="1">IFERROR(__xludf.DUMMYFUNCTION("""COMPUTED_VALUE"""),1482183974)</f>
        <v>1482183974</v>
      </c>
      <c r="B75" s="19" t="str">
        <f ca="1">IFERROR(__xludf.DUMMYFUNCTION("""COMPUTED_VALUE"""),"promohub")</f>
        <v>promohub</v>
      </c>
      <c r="C75" s="22" t="str">
        <f ca="1">IFERROR(__xludf.DUMMYFUNCTION("""COMPUTED_VALUE"""),"https://www.instagram.com/promohub.br/")</f>
        <v>https://www.instagram.com/promohub.br/</v>
      </c>
      <c r="D75" s="19">
        <f ca="1">IFERROR(__xludf.DUMMYFUNCTION("""COMPUTED_VALUE"""),39700)</f>
        <v>39700</v>
      </c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>
      <c r="A76" s="21">
        <f ca="1">IFERROR(__xludf.DUMMYFUNCTION("""COMPUTED_VALUE"""),2351879503)</f>
        <v>2351879503</v>
      </c>
      <c r="B76" s="19" t="str">
        <f ca="1">IFERROR(__xludf.DUMMYFUNCTION("""COMPUTED_VALUE"""),"br20250326135135")</f>
        <v>br20250326135135</v>
      </c>
      <c r="C76" s="22" t="str">
        <f ca="1">IFERROR(__xludf.DUMMYFUNCTION("""COMPUTED_VALUE"""),"https://www.instagram.com/rodrigoapolloni/")</f>
        <v>https://www.instagram.com/rodrigoapolloni/</v>
      </c>
      <c r="D76" s="19">
        <f ca="1">IFERROR(__xludf.DUMMYFUNCTION("""COMPUTED_VALUE"""),256)</f>
        <v>256</v>
      </c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>
      <c r="A77" s="21">
        <f ca="1">IFERROR(__xludf.DUMMYFUNCTION("""COMPUTED_VALUE"""),1514602500)</f>
        <v>1514602500</v>
      </c>
      <c r="B77" s="19" t="str">
        <f ca="1">IFERROR(__xludf.DUMMYFUNCTION("""COMPUTED_VALUE"""),"recomendou")</f>
        <v>recomendou</v>
      </c>
      <c r="C77" s="22" t="str">
        <f ca="1">IFERROR(__xludf.DUMMYFUNCTION("""COMPUTED_VALUE"""),"promodica.com.br")</f>
        <v>promodica.com.br</v>
      </c>
      <c r="D77" s="19">
        <f ca="1">IFERROR(__xludf.DUMMYFUNCTION("""COMPUTED_VALUE"""),0)</f>
        <v>0</v>
      </c>
      <c r="E77" s="22" t="str">
        <f ca="1">IFERROR(__xludf.DUMMYFUNCTION("""COMPUTED_VALUE"""),"promodica.com.br")</f>
        <v>promodica.com.br</v>
      </c>
      <c r="F77" s="19">
        <f ca="1">IFERROR(__xludf.DUMMYFUNCTION("""COMPUTED_VALUE"""),0)</f>
        <v>0</v>
      </c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>
      <c r="A78" s="21">
        <f ca="1">IFERROR(__xludf.DUMMYFUNCTION("""COMPUTED_VALUE"""),1321102962)</f>
        <v>1321102962</v>
      </c>
      <c r="B78" s="19" t="str">
        <f ca="1">IFERROR(__xludf.DUMMYFUNCTION("""COMPUTED_VALUE"""),"eusoubarone")</f>
        <v>eusoubarone</v>
      </c>
      <c r="C78" s="19" t="str">
        <f ca="1">IFERROR(__xludf.DUMMYFUNCTION("""COMPUTED_VALUE"""),"")</f>
        <v/>
      </c>
      <c r="D78" s="19" t="str">
        <f ca="1">IFERROR(__xludf.DUMMYFUNCTION("""COMPUTED_VALUE"""),"")</f>
        <v/>
      </c>
      <c r="E78" s="19" t="str">
        <f ca="1">IFERROR(__xludf.DUMMYFUNCTION("""COMPUTED_VALUE"""),"")</f>
        <v/>
      </c>
      <c r="F78" s="19" t="str">
        <f ca="1">IFERROR(__xludf.DUMMYFUNCTION("""COMPUTED_VALUE"""),"")</f>
        <v/>
      </c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>
      <c r="A79" s="21">
        <f ca="1">IFERROR(__xludf.DUMMYFUNCTION("""COMPUTED_VALUE"""),495016443)</f>
        <v>495016443</v>
      </c>
      <c r="B79" s="19" t="str">
        <f ca="1">IFERROR(__xludf.DUMMYFUNCTION("""COMPUTED_VALUE"""),"ofertasgeek")</f>
        <v>ofertasgeek</v>
      </c>
      <c r="C79" s="22" t="str">
        <f ca="1">IFERROR(__xludf.DUMMYFUNCTION("""COMPUTED_VALUE"""),"https://www.instagram.com/_ofertasgeek/")</f>
        <v>https://www.instagram.com/_ofertasgeek/</v>
      </c>
      <c r="D79" s="19">
        <f ca="1">IFERROR(__xludf.DUMMYFUNCTION("""COMPUTED_VALUE"""),53000)</f>
        <v>53000</v>
      </c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>
      <c r="A80" s="21">
        <f ca="1">IFERROR(__xludf.DUMMYFUNCTION("""COMPUTED_VALUE"""),1457441247)</f>
        <v>1457441247</v>
      </c>
      <c r="B80" s="19" t="str">
        <f ca="1">IFERROR(__xludf.DUMMYFUNCTION("""COMPUTED_VALUE"""),"cupons")</f>
        <v>cupons</v>
      </c>
      <c r="C80" s="22" t="str">
        <f ca="1">IFERROR(__xludf.DUMMYFUNCTION("""COMPUTED_VALUE"""),"https://www.instagram.com/reduzaoficial/")</f>
        <v>https://www.instagram.com/reduzaoficial/</v>
      </c>
      <c r="D80" s="19">
        <f ca="1">IFERROR(__xludf.DUMMYFUNCTION("""COMPUTED_VALUE"""),10000)</f>
        <v>10000</v>
      </c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>
      <c r="A81" s="21">
        <f ca="1">IFERROR(__xludf.DUMMYFUNCTION("""COMPUTED_VALUE"""),200355621)</f>
        <v>200355621</v>
      </c>
      <c r="B81" s="19" t="str">
        <f ca="1">IFERROR(__xludf.DUMMYFUNCTION("""COMPUTED_VALUE"""),"ultreyamarketing")</f>
        <v>ultreyamarketing</v>
      </c>
      <c r="C81" s="19" t="str">
        <f ca="1">IFERROR(__xludf.DUMMYFUNCTION("""COMPUTED_VALUE"""),"sergipe.ofertas")</f>
        <v>sergipe.ofertas</v>
      </c>
      <c r="D81" s="19">
        <f ca="1">IFERROR(__xludf.DUMMYFUNCTION("""COMPUTED_VALUE"""),100000)</f>
        <v>100000</v>
      </c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>
      <c r="A82" s="21">
        <f ca="1">IFERROR(__xludf.DUMMYFUNCTION("""COMPUTED_VALUE"""),1435262807)</f>
        <v>1435262807</v>
      </c>
      <c r="B82" s="19" t="str">
        <f ca="1">IFERROR(__xludf.DUMMYFUNCTION("""COMPUTED_VALUE"""),"tudonapromo")</f>
        <v>tudonapromo</v>
      </c>
      <c r="C82" s="22" t="str">
        <f ca="1">IFERROR(__xludf.DUMMYFUNCTION("""COMPUTED_VALUE"""),"https://www.instagram.com/tuudonapromo")</f>
        <v>https://www.instagram.com/tuudonapromo</v>
      </c>
      <c r="D82" s="19">
        <f ca="1">IFERROR(__xludf.DUMMYFUNCTION("""COMPUTED_VALUE"""),5828)</f>
        <v>5828</v>
      </c>
      <c r="E82" s="22" t="str">
        <f ca="1">IFERROR(__xludf.DUMMYFUNCTION("""COMPUTED_VALUE"""),"https://www.tiktok.com/@tudonapromo_")</f>
        <v>https://www.tiktok.com/@tudonapromo_</v>
      </c>
      <c r="F82" s="19">
        <f ca="1">IFERROR(__xludf.DUMMYFUNCTION("""COMPUTED_VALUE"""),1000)</f>
        <v>1000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>
      <c r="A83" s="21">
        <f ca="1">IFERROR(__xludf.DUMMYFUNCTION("""COMPUTED_VALUE"""),255626570)</f>
        <v>255626570</v>
      </c>
      <c r="B83" s="19" t="str">
        <f ca="1">IFERROR(__xludf.DUMMYFUNCTION("""COMPUTED_VALUE"""),"updesconto")</f>
        <v>updesconto</v>
      </c>
      <c r="C83" s="22" t="str">
        <f ca="1">IFERROR(__xludf.DUMMYFUNCTION("""COMPUTED_VALUE"""),"www.instagram.com/updesconta")</f>
        <v>www.instagram.com/updesconta</v>
      </c>
      <c r="D83" s="19">
        <f ca="1">IFERROR(__xludf.DUMMYFUNCTION("""COMPUTED_VALUE"""),20000)</f>
        <v>20000</v>
      </c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>
      <c r="A84" s="21">
        <f ca="1">IFERROR(__xludf.DUMMYFUNCTION("""COMPUTED_VALUE"""),152436288)</f>
        <v>152436288</v>
      </c>
      <c r="B84" s="19" t="str">
        <f ca="1">IFERROR(__xludf.DUMMYFUNCTION("""COMPUTED_VALUE"""),"gugaaprova")</f>
        <v>gugaaprova</v>
      </c>
      <c r="C84" s="22" t="str">
        <f ca="1">IFERROR(__xludf.DUMMYFUNCTION("""COMPUTED_VALUE"""),"https://www.instagram.com/gugaaprova_/")</f>
        <v>https://www.instagram.com/gugaaprova_/</v>
      </c>
      <c r="D84" s="19">
        <f ca="1">IFERROR(__xludf.DUMMYFUNCTION("""COMPUTED_VALUE"""),19700)</f>
        <v>19700</v>
      </c>
      <c r="E84" s="22" t="str">
        <f ca="1">IFERROR(__xludf.DUMMYFUNCTION("""COMPUTED_VALUE"""),"https://www.tiktok.com/@gugaetharcyla")</f>
        <v>https://www.tiktok.com/@gugaetharcyla</v>
      </c>
      <c r="F84" s="19">
        <f ca="1">IFERROR(__xludf.DUMMYFUNCTION("""COMPUTED_VALUE"""),77600)</f>
        <v>77600</v>
      </c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>
      <c r="A85" s="21">
        <f ca="1">IFERROR(__xludf.DUMMYFUNCTION("""COMPUTED_VALUE"""),2313173800)</f>
        <v>2313173800</v>
      </c>
      <c r="B85" s="19" t="str">
        <f ca="1">IFERROR(__xludf.DUMMYFUNCTION("""COMPUTED_VALUE"""),"ofertinhasecia")</f>
        <v>ofertinhasecia</v>
      </c>
      <c r="C85" s="19" t="str">
        <f ca="1">IFERROR(__xludf.DUMMYFUNCTION("""COMPUTED_VALUE"""),"")</f>
        <v/>
      </c>
      <c r="D85" s="19" t="str">
        <f ca="1">IFERROR(__xludf.DUMMYFUNCTION("""COMPUTED_VALUE"""),"")</f>
        <v/>
      </c>
      <c r="E85" s="19" t="str">
        <f ca="1">IFERROR(__xludf.DUMMYFUNCTION("""COMPUTED_VALUE"""),"")</f>
        <v/>
      </c>
      <c r="F85" s="19" t="str">
        <f ca="1">IFERROR(__xludf.DUMMYFUNCTION("""COMPUTED_VALUE"""),"")</f>
        <v/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>
      <c r="A86" s="21">
        <f ca="1">IFERROR(__xludf.DUMMYFUNCTION("""COMPUTED_VALUE"""),1365959356)</f>
        <v>1365959356</v>
      </c>
      <c r="B86" s="19" t="str">
        <f ca="1">IFERROR(__xludf.DUMMYFUNCTION("""COMPUTED_VALUE"""),"adrenalinemc")</f>
        <v>adrenalinemc</v>
      </c>
      <c r="C86" s="22" t="str">
        <f ca="1">IFERROR(__xludf.DUMMYFUNCTION("""COMPUTED_VALUE"""),"https://www.instagram.com/adrenaline_oficial/")</f>
        <v>https://www.instagram.com/adrenaline_oficial/</v>
      </c>
      <c r="D86" s="19">
        <f ca="1">IFERROR(__xludf.DUMMYFUNCTION("""COMPUTED_VALUE"""),248000)</f>
        <v>248000</v>
      </c>
      <c r="E86" s="22" t="str">
        <f ca="1">IFERROR(__xludf.DUMMYFUNCTION("""COMPUTED_VALUE"""),"https://www.tiktok.com/@adrenalinecombr")</f>
        <v>https://www.tiktok.com/@adrenalinecombr</v>
      </c>
      <c r="F86" s="19">
        <f ca="1">IFERROR(__xludf.DUMMYFUNCTION("""COMPUTED_VALUE"""),66200)</f>
        <v>66200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>
      <c r="A87" s="21">
        <f ca="1">IFERROR(__xludf.DUMMYFUNCTION("""COMPUTED_VALUE"""),379432988)</f>
        <v>379432988</v>
      </c>
      <c r="B87" s="19" t="str">
        <f ca="1">IFERROR(__xludf.DUMMYFUNCTION("""COMPUTED_VALUE"""),"pmempdigitais")</f>
        <v>pmempdigitais</v>
      </c>
      <c r="C87" s="22" t="str">
        <f ca="1">IFERROR(__xludf.DUMMYFUNCTION("""COMPUTED_VALUE"""),"https://www.instagram.com/paulodatecnologia/")</f>
        <v>https://www.instagram.com/paulodatecnologia/</v>
      </c>
      <c r="D87" s="19">
        <f ca="1">IFERROR(__xludf.DUMMYFUNCTION("""COMPUTED_VALUE"""),2200)</f>
        <v>2200</v>
      </c>
      <c r="E87" s="22" t="str">
        <f ca="1">IFERROR(__xludf.DUMMYFUNCTION("""COMPUTED_VALUE"""),"https://www.tiktok.com/@paulodatecnologia")</f>
        <v>https://www.tiktok.com/@paulodatecnologia</v>
      </c>
      <c r="F87" s="19">
        <f ca="1">IFERROR(__xludf.DUMMYFUNCTION("""COMPUTED_VALUE"""),6500)</f>
        <v>6500</v>
      </c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>
      <c r="A88" s="21">
        <f ca="1">IFERROR(__xludf.DUMMYFUNCTION("""COMPUTED_VALUE"""),547239300)</f>
        <v>547239300</v>
      </c>
      <c r="B88" s="19" t="str">
        <f ca="1">IFERROR(__xludf.DUMMYFUNCTION("""COMPUTED_VALUE"""),"d6news")</f>
        <v>d6news</v>
      </c>
      <c r="C88" s="22" t="str">
        <f ca="1">IFERROR(__xludf.DUMMYFUNCTION("""COMPUTED_VALUE"""),"https://www.instagram.com/manualdecompra/")</f>
        <v>https://www.instagram.com/manualdecompra/</v>
      </c>
      <c r="D88" s="19">
        <f ca="1">IFERROR(__xludf.DUMMYFUNCTION("""COMPUTED_VALUE"""),106)</f>
        <v>106</v>
      </c>
      <c r="E88" s="22" t="str">
        <f ca="1">IFERROR(__xludf.DUMMYFUNCTION("""COMPUTED_VALUE"""),"https://www.tiktok.com/@manual.de.compra")</f>
        <v>https://www.tiktok.com/@manual.de.compra</v>
      </c>
      <c r="F88" s="19">
        <f ca="1">IFERROR(__xludf.DUMMYFUNCTION("""COMPUTED_VALUE"""),26)</f>
        <v>26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>
      <c r="A89" s="21">
        <f ca="1">IFERROR(__xludf.DUMMYFUNCTION("""COMPUTED_VALUE"""),1343085375)</f>
        <v>1343085375</v>
      </c>
      <c r="B89" s="19" t="str">
        <f ca="1">IFERROR(__xludf.DUMMYFUNCTION("""COMPUTED_VALUE"""),"felps")</f>
        <v>felps</v>
      </c>
      <c r="C89" s="22" t="str">
        <f ca="1">IFERROR(__xludf.DUMMYFUNCTION("""COMPUTED_VALUE"""),"https://www.instagram.com/felps?igsh=NGh1NnhxeXF3ZjBi&amp;utm_source=qr")</f>
        <v>https://www.instagram.com/felps?igsh=NGh1NnhxeXF3ZjBi&amp;utm_source=qr</v>
      </c>
      <c r="D89" s="19">
        <f ca="1">IFERROR(__xludf.DUMMYFUNCTION("""COMPUTED_VALUE"""),71300)</f>
        <v>71300</v>
      </c>
      <c r="E89" s="22" t="str">
        <f ca="1">IFERROR(__xludf.DUMMYFUNCTION("""COMPUTED_VALUE"""),"https://www.tiktok.com/@felpstech?_t=ZM-8ydRaxH76b0&amp;_r=1")</f>
        <v>https://www.tiktok.com/@felpstech?_t=ZM-8ydRaxH76b0&amp;_r=1</v>
      </c>
      <c r="F89" s="19">
        <f ca="1">IFERROR(__xludf.DUMMYFUNCTION("""COMPUTED_VALUE"""),60600)</f>
        <v>60600</v>
      </c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>
      <c r="A90" s="21">
        <f ca="1">IFERROR(__xludf.DUMMYFUNCTION("""COMPUTED_VALUE"""),323819368)</f>
        <v>323819368</v>
      </c>
      <c r="B90" s="19" t="str">
        <f ca="1">IFERROR(__xludf.DUMMYFUNCTION("""COMPUTED_VALUE"""),"alupa")</f>
        <v>alupa</v>
      </c>
      <c r="C90" s="22" t="str">
        <f ca="1">IFERROR(__xludf.DUMMYFUNCTION("""COMPUTED_VALUE"""),"https://www.instagram.com/alupaofertas")</f>
        <v>https://www.instagram.com/alupaofertas</v>
      </c>
      <c r="D90" s="19">
        <f ca="1">IFERROR(__xludf.DUMMYFUNCTION("""COMPUTED_VALUE"""),5000)</f>
        <v>5000</v>
      </c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>
      <c r="A91" s="21">
        <f ca="1">IFERROR(__xludf.DUMMYFUNCTION("""COMPUTED_VALUE"""),1416008866)</f>
        <v>1416008866</v>
      </c>
      <c r="B91" s="19" t="str">
        <f ca="1">IFERROR(__xludf.DUMMYFUNCTION("""COMPUTED_VALUE"""),"superconsumer23")</f>
        <v>superconsumer23</v>
      </c>
      <c r="C91" s="22" t="str">
        <f ca="1">IFERROR(__xludf.DUMMYFUNCTION("""COMPUTED_VALUE"""),"https://www.instagram.com/superconsumer_?igsh=MWVhZGExbjc5dGN0MQ%3D%3D&amp;utm_source=qr")</f>
        <v>https://www.instagram.com/superconsumer_?igsh=MWVhZGExbjc5dGN0MQ%3D%3D&amp;utm_source=qr</v>
      </c>
      <c r="D91" s="19">
        <f ca="1">IFERROR(__xludf.DUMMYFUNCTION("""COMPUTED_VALUE"""),17000)</f>
        <v>17000</v>
      </c>
      <c r="E91" s="22" t="str">
        <f ca="1">IFERROR(__xludf.DUMMYFUNCTION("""COMPUTED_VALUE"""),"https://www.tiktok.com/@superconsumer?_t=ZM-8yzM19UwYQ1&amp;_r=1")</f>
        <v>https://www.tiktok.com/@superconsumer?_t=ZM-8yzM19UwYQ1&amp;_r=1</v>
      </c>
      <c r="F91" s="19">
        <f ca="1">IFERROR(__xludf.DUMMYFUNCTION("""COMPUTED_VALUE"""),5600)</f>
        <v>5600</v>
      </c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>
      <c r="A92" s="21">
        <f ca="1">IFERROR(__xludf.DUMMYFUNCTION("""COMPUTED_VALUE"""),134739278)</f>
        <v>134739278</v>
      </c>
      <c r="B92" s="19" t="str">
        <f ca="1">IFERROR(__xludf.DUMMYFUNCTION("""COMPUTED_VALUE"""),"cmdias")</f>
        <v>cmdias</v>
      </c>
      <c r="C92" s="22" t="str">
        <f ca="1">IFERROR(__xludf.DUMMYFUNCTION("""COMPUTED_VALUE"""),"https://www.instagram.com/cmdias_oficial?igsh=MXhkazV4a3ZvOGF2cg%3D%3D&amp;utm_source=qr")</f>
        <v>https://www.instagram.com/cmdias_oficial?igsh=MXhkazV4a3ZvOGF2cg%3D%3D&amp;utm_source=qr</v>
      </c>
      <c r="D92" s="19">
        <f ca="1">IFERROR(__xludf.DUMMYFUNCTION("""COMPUTED_VALUE"""),3200)</f>
        <v>3200</v>
      </c>
      <c r="E92" s="22" t="str">
        <f ca="1">IFERROR(__xludf.DUMMYFUNCTION("""COMPUTED_VALUE"""),"https://www.tiktok.com/@cmdias_oficial?_t=ZM-8yncuV98E6S&amp;_r=1")</f>
        <v>https://www.tiktok.com/@cmdias_oficial?_t=ZM-8yncuV98E6S&amp;_r=1</v>
      </c>
      <c r="F92" s="19">
        <f ca="1">IFERROR(__xludf.DUMMYFUNCTION("""COMPUTED_VALUE"""),5000)</f>
        <v>5000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>
      <c r="A93" s="21">
        <f ca="1">IFERROR(__xludf.DUMMYFUNCTION("""COMPUTED_VALUE"""),1885573171)</f>
        <v>1885573171</v>
      </c>
      <c r="B93" s="19" t="str">
        <f ca="1">IFERROR(__xludf.DUMMYFUNCTION("""COMPUTED_VALUE"""),"talkpcx")</f>
        <v>talkpcx</v>
      </c>
      <c r="C93" s="22" t="str">
        <f ca="1">IFERROR(__xludf.DUMMYFUNCTION("""COMPUTED_VALUE"""),"https://www.instagram.com/vitordobranding")</f>
        <v>https://www.instagram.com/vitordobranding</v>
      </c>
      <c r="D93" s="19">
        <f ca="1">IFERROR(__xludf.DUMMYFUNCTION("""COMPUTED_VALUE"""),500)</f>
        <v>500</v>
      </c>
      <c r="E93" s="22" t="str">
        <f ca="1">IFERROR(__xludf.DUMMYFUNCTION("""COMPUTED_VALUE"""),"https://www.tiktok.com/@talk.pc?_t=ZM-8wlznUJVtGI&amp;_r=1")</f>
        <v>https://www.tiktok.com/@talk.pc?_t=ZM-8wlznUJVtGI&amp;_r=1</v>
      </c>
      <c r="F93" s="19">
        <f ca="1">IFERROR(__xludf.DUMMYFUNCTION("""COMPUTED_VALUE"""),350)</f>
        <v>350</v>
      </c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>
      <c r="A94" s="21">
        <f ca="1">IFERROR(__xludf.DUMMYFUNCTION("""COMPUTED_VALUE"""),286249876)</f>
        <v>286249876</v>
      </c>
      <c r="B94" s="19" t="str">
        <f ca="1">IFERROR(__xludf.DUMMYFUNCTION("""COMPUTED_VALUE"""),"acheinapromo")</f>
        <v>acheinapromo</v>
      </c>
      <c r="C94" s="22" t="str">
        <f ca="1">IFERROR(__xludf.DUMMYFUNCTION("""COMPUTED_VALUE"""),"https://www.instagram.com/acheinapromoo/")</f>
        <v>https://www.instagram.com/acheinapromoo/</v>
      </c>
      <c r="D94" s="19">
        <f ca="1">IFERROR(__xludf.DUMMYFUNCTION("""COMPUTED_VALUE"""),115)</f>
        <v>115</v>
      </c>
      <c r="E94" s="22" t="str">
        <f ca="1">IFERROR(__xludf.DUMMYFUNCTION("""COMPUTED_VALUE"""),"https://www.tiktok.com/@juliafarath")</f>
        <v>https://www.tiktok.com/@juliafarath</v>
      </c>
      <c r="F94" s="19">
        <f ca="1">IFERROR(__xludf.DUMMYFUNCTION("""COMPUTED_VALUE"""),18)</f>
        <v>18</v>
      </c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>
      <c r="A95" s="21">
        <f ca="1">IFERROR(__xludf.DUMMYFUNCTION("""COMPUTED_VALUE"""),1494770433)</f>
        <v>1494770433</v>
      </c>
      <c r="B95" s="19" t="str">
        <f ca="1">IFERROR(__xludf.DUMMYFUNCTION("""COMPUTED_VALUE"""),"gabpromo")</f>
        <v>gabpromo</v>
      </c>
      <c r="C95" s="22" t="str">
        <f ca="1">IFERROR(__xludf.DUMMYFUNCTION("""COMPUTED_VALUE"""),"https://www.instagram.com/gabpromo_/")</f>
        <v>https://www.instagram.com/gabpromo_/</v>
      </c>
      <c r="D95" s="19">
        <f ca="1">IFERROR(__xludf.DUMMYFUNCTION("""COMPUTED_VALUE"""),8800)</f>
        <v>8800</v>
      </c>
      <c r="E95" s="22" t="str">
        <f ca="1">IFERROR(__xludf.DUMMYFUNCTION("""COMPUTED_VALUE"""),"https://www.tiktok.com/@gabpromo_")</f>
        <v>https://www.tiktok.com/@gabpromo_</v>
      </c>
      <c r="F95" s="19">
        <f ca="1">IFERROR(__xludf.DUMMYFUNCTION("""COMPUTED_VALUE"""),1100)</f>
        <v>1100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>
      <c r="A96" s="21">
        <f ca="1">IFERROR(__xludf.DUMMYFUNCTION("""COMPUTED_VALUE"""),1291850544)</f>
        <v>1291850544</v>
      </c>
      <c r="B96" s="19" t="str">
        <f ca="1">IFERROR(__xludf.DUMMYFUNCTION("""COMPUTED_VALUE"""),"compreibarato")</f>
        <v>compreibarato</v>
      </c>
      <c r="C96" s="22" t="str">
        <f ca="1">IFERROR(__xludf.DUMMYFUNCTION("""COMPUTED_VALUE"""),"https://www.instagram.com/achadosebarato?igsh=Nmh4YzU2ZmxqMHd2&amp;utm_source=qr")</f>
        <v>https://www.instagram.com/achadosebarato?igsh=Nmh4YzU2ZmxqMHd2&amp;utm_source=qr</v>
      </c>
      <c r="D96" s="19">
        <f ca="1">IFERROR(__xludf.DUMMYFUNCTION("""COMPUTED_VALUE"""),7800)</f>
        <v>7800</v>
      </c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>
      <c r="A97" s="21">
        <f ca="1">IFERROR(__xludf.DUMMYFUNCTION("""COMPUTED_VALUE"""),1224327239)</f>
        <v>1224327239</v>
      </c>
      <c r="B97" s="19" t="str">
        <f ca="1">IFERROR(__xludf.DUMMYFUNCTION("""COMPUTED_VALUE"""),"cardosohenrique20230309120708")</f>
        <v>cardosohenrique20230309120708</v>
      </c>
      <c r="C97" s="22" t="str">
        <f ca="1">IFERROR(__xludf.DUMMYFUNCTION("""COMPUTED_VALUE"""),"https://www.instagram.com/henriquecardosoyt/")</f>
        <v>https://www.instagram.com/henriquecardosoyt/</v>
      </c>
      <c r="D97" s="19">
        <f ca="1">IFERROR(__xludf.DUMMYFUNCTION("""COMPUTED_VALUE"""),2000)</f>
        <v>2000</v>
      </c>
      <c r="E97" s="22" t="str">
        <f ca="1">IFERROR(__xludf.DUMMYFUNCTION("""COMPUTED_VALUE"""),"https://www.tiktok.com/@henriquecardosotech")</f>
        <v>https://www.tiktok.com/@henriquecardosotech</v>
      </c>
      <c r="F97" s="19">
        <f ca="1">IFERROR(__xludf.DUMMYFUNCTION("""COMPUTED_VALUE"""),1000)</f>
        <v>1000</v>
      </c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>
      <c r="A98" s="21">
        <f ca="1">IFERROR(__xludf.DUMMYFUNCTION("""COMPUTED_VALUE"""),56905243)</f>
        <v>56905243</v>
      </c>
      <c r="B98" s="19" t="str">
        <f ca="1">IFERROR(__xludf.DUMMYFUNCTION("""COMPUTED_VALUE"""),"tudoporumdesconto")</f>
        <v>tudoporumdesconto</v>
      </c>
      <c r="C98" s="19" t="str">
        <f ca="1">IFERROR(__xludf.DUMMYFUNCTION("""COMPUTED_VALUE"""),"")</f>
        <v/>
      </c>
      <c r="D98" s="19" t="str">
        <f ca="1">IFERROR(__xludf.DUMMYFUNCTION("""COMPUTED_VALUE"""),"")</f>
        <v/>
      </c>
      <c r="E98" s="19" t="str">
        <f ca="1">IFERROR(__xludf.DUMMYFUNCTION("""COMPUTED_VALUE"""),"")</f>
        <v/>
      </c>
      <c r="F98" s="19" t="str">
        <f ca="1">IFERROR(__xludf.DUMMYFUNCTION("""COMPUTED_VALUE"""),"")</f>
        <v/>
      </c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>
      <c r="A99" s="21">
        <f ca="1">IFERROR(__xludf.DUMMYFUNCTION("""COMPUTED_VALUE"""),138261262)</f>
        <v>138261262</v>
      </c>
      <c r="B99" s="19" t="str">
        <f ca="1">IFERROR(__xludf.DUMMYFUNCTION("""COMPUTED_VALUE"""),"tecnan")</f>
        <v>tecnan</v>
      </c>
      <c r="C99" s="22" t="str">
        <f ca="1">IFERROR(__xludf.DUMMYFUNCTION("""COMPUTED_VALUE"""),"https://www.instagram.com/tecnan_informatica")</f>
        <v>https://www.instagram.com/tecnan_informatica</v>
      </c>
      <c r="D99" s="19">
        <f ca="1">IFERROR(__xludf.DUMMYFUNCTION("""COMPUTED_VALUE"""),24000)</f>
        <v>24000</v>
      </c>
      <c r="E99" s="22" t="str">
        <f ca="1">IFERROR(__xludf.DUMMYFUNCTION("""COMPUTED_VALUE"""),"https://www.tiktok.com/@tecnaninformatica")</f>
        <v>https://www.tiktok.com/@tecnaninformatica</v>
      </c>
      <c r="F99" s="19">
        <f ca="1">IFERROR(__xludf.DUMMYFUNCTION("""COMPUTED_VALUE"""),81000)</f>
        <v>81000</v>
      </c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>
      <c r="A100" s="21">
        <f ca="1">IFERROR(__xludf.DUMMYFUNCTION("""COMPUTED_VALUE"""),202022997)</f>
        <v>202022997</v>
      </c>
      <c r="B100" s="19" t="str">
        <f ca="1">IFERROR(__xludf.DUMMYFUNCTION("""COMPUTED_VALUE"""),"technatela")</f>
        <v>technatela</v>
      </c>
      <c r="C100" s="22" t="str">
        <f ca="1">IFERROR(__xludf.DUMMYFUNCTION("""COMPUTED_VALUE"""),"https://www.instagram.com/technatela/")</f>
        <v>https://www.instagram.com/technatela/</v>
      </c>
      <c r="D100" s="19">
        <f ca="1">IFERROR(__xludf.DUMMYFUNCTION("""COMPUTED_VALUE"""),272000)</f>
        <v>272000</v>
      </c>
      <c r="E100" s="22" t="str">
        <f ca="1">IFERROR(__xludf.DUMMYFUNCTION("""COMPUTED_VALUE"""),"https://www.tiktok.com/@technatela")</f>
        <v>https://www.tiktok.com/@technatela</v>
      </c>
      <c r="F100" s="19">
        <f ca="1">IFERROR(__xludf.DUMMYFUNCTION("""COMPUTED_VALUE"""),158000)</f>
        <v>158000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>
      <c r="A101" s="21">
        <f ca="1">IFERROR(__xludf.DUMMYFUNCTION("""COMPUTED_VALUE"""),1433577301)</f>
        <v>1433577301</v>
      </c>
      <c r="B101" s="19" t="str">
        <f ca="1">IFERROR(__xludf.DUMMYFUNCTION("""COMPUTED_VALUE"""),"promotom")</f>
        <v>promotom</v>
      </c>
      <c r="C101" s="22" t="str">
        <f ca="1">IFERROR(__xludf.DUMMYFUNCTION("""COMPUTED_VALUE"""),"https://www.instagram.com/promotomofertas/")</f>
        <v>https://www.instagram.com/promotomofertas/</v>
      </c>
      <c r="D101" s="19">
        <f ca="1">IFERROR(__xludf.DUMMYFUNCTION("""COMPUTED_VALUE"""),1300)</f>
        <v>1300</v>
      </c>
      <c r="E101" s="22" t="str">
        <f ca="1">IFERROR(__xludf.DUMMYFUNCTION("""COMPUTED_VALUE"""),"https://www.tiktok.com/@promotom_")</f>
        <v>https://www.tiktok.com/@promotom_</v>
      </c>
      <c r="F101" s="19">
        <f ca="1">IFERROR(__xludf.DUMMYFUNCTION("""COMPUTED_VALUE"""),1200)</f>
        <v>1200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>
      <c r="A102" s="21">
        <f ca="1">IFERROR(__xludf.DUMMYFUNCTION("""COMPUTED_VALUE"""),1463706675)</f>
        <v>1463706675</v>
      </c>
      <c r="B102" s="19" t="str">
        <f ca="1">IFERROR(__xludf.DUMMYFUNCTION("""COMPUTED_VALUE"""),"Economister")</f>
        <v>Economister</v>
      </c>
      <c r="C102" s="22" t="str">
        <f ca="1">IFERROR(__xludf.DUMMYFUNCTION("""COMPUTED_VALUE"""),"https://economisterpromocoes.com/grupos")</f>
        <v>https://economisterpromocoes.com/grupos</v>
      </c>
      <c r="D102" s="19">
        <f ca="1">IFERROR(__xludf.DUMMYFUNCTION("""COMPUTED_VALUE"""),0)</f>
        <v>0</v>
      </c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>
      <c r="A103" s="21">
        <f ca="1">IFERROR(__xludf.DUMMYFUNCTION("""COMPUTED_VALUE"""),92792646)</f>
        <v>92792646</v>
      </c>
      <c r="B103" s="19" t="str">
        <f ca="1">IFERROR(__xludf.DUMMYFUNCTION("""COMPUTED_VALUE"""),"samuelcout")</f>
        <v>samuelcout</v>
      </c>
      <c r="C103" s="22" t="str">
        <f ca="1">IFERROR(__xludf.DUMMYFUNCTION("""COMPUTED_VALUE"""),"https://www.instagram.com/cout.samuel/?hl=pt-br")</f>
        <v>https://www.instagram.com/cout.samuel/?hl=pt-br</v>
      </c>
      <c r="D103" s="19">
        <f ca="1">IFERROR(__xludf.DUMMYFUNCTION("""COMPUTED_VALUE"""),147000)</f>
        <v>147000</v>
      </c>
      <c r="E103" s="22" t="str">
        <f ca="1">IFERROR(__xludf.DUMMYFUNCTION("""COMPUTED_VALUE"""),"www.youtube.com/c/SamuelCout")</f>
        <v>www.youtube.com/c/SamuelCout</v>
      </c>
      <c r="F103" s="19">
        <f ca="1">IFERROR(__xludf.DUMMYFUNCTION("""COMPUTED_VALUE"""),1780000)</f>
        <v>1780000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>
      <c r="A104" s="21">
        <f ca="1">IFERROR(__xludf.DUMMYFUNCTION("""COMPUTED_VALUE"""),1383038146)</f>
        <v>1383038146</v>
      </c>
      <c r="B104" s="19" t="str">
        <f ca="1">IFERROR(__xludf.DUMMYFUNCTION("""COMPUTED_VALUE"""),"iskandarsouza")</f>
        <v>iskandarsouza</v>
      </c>
      <c r="C104" s="22" t="str">
        <f ca="1">IFERROR(__xludf.DUMMYFUNCTION("""COMPUTED_VALUE"""),"https://www.instagram.com/iskandar_souza/")</f>
        <v>https://www.instagram.com/iskandar_souza/</v>
      </c>
      <c r="D104" s="19">
        <f ca="1">IFERROR(__xludf.DUMMYFUNCTION("""COMPUTED_VALUE"""),6300)</f>
        <v>6300</v>
      </c>
      <c r="E104" s="22" t="str">
        <f ca="1">IFERROR(__xludf.DUMMYFUNCTION("""COMPUTED_VALUE"""),"https://www.tiktok.com/@iskandar_souza")</f>
        <v>https://www.tiktok.com/@iskandar_souza</v>
      </c>
      <c r="F104" s="19">
        <f ca="1">IFERROR(__xludf.DUMMYFUNCTION("""COMPUTED_VALUE"""),1946)</f>
        <v>1946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>
      <c r="A105" s="21">
        <f ca="1">IFERROR(__xludf.DUMMYFUNCTION("""COMPUTED_VALUE"""),1381562962)</f>
        <v>1381562962</v>
      </c>
      <c r="B105" s="19" t="str">
        <f ca="1">IFERROR(__xludf.DUMMYFUNCTION("""COMPUTED_VALUE"""),"hardtec")</f>
        <v>hardtec</v>
      </c>
      <c r="C105" s="22" t="str">
        <f ca="1">IFERROR(__xludf.DUMMYFUNCTION("""COMPUTED_VALUE"""),"https://www.instagram.com/rochahardtec?igsh=MXUwcGk2dzY2dG1vdg==")</f>
        <v>https://www.instagram.com/rochahardtec?igsh=MXUwcGk2dzY2dG1vdg==</v>
      </c>
      <c r="D105" s="19">
        <f ca="1">IFERROR(__xludf.DUMMYFUNCTION("""COMPUTED_VALUE"""),12500)</f>
        <v>12500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>
      <c r="A106" s="21">
        <f ca="1">IFERROR(__xludf.DUMMYFUNCTION("""COMPUTED_VALUE"""),1427776750)</f>
        <v>1427776750</v>
      </c>
      <c r="B106" s="19" t="str">
        <f ca="1">IFERROR(__xludf.DUMMYFUNCTION("""COMPUTED_VALUE"""),"leotecnodia")</f>
        <v>leotecnodia</v>
      </c>
      <c r="C106" s="19" t="str">
        <f ca="1">IFERROR(__xludf.DUMMYFUNCTION("""COMPUTED_VALUE"""),"")</f>
        <v/>
      </c>
      <c r="D106" s="19" t="str">
        <f ca="1">IFERROR(__xludf.DUMMYFUNCTION("""COMPUTED_VALUE"""),"")</f>
        <v/>
      </c>
      <c r="E106" s="19" t="str">
        <f ca="1">IFERROR(__xludf.DUMMYFUNCTION("""COMPUTED_VALUE"""),"")</f>
        <v/>
      </c>
      <c r="F106" s="19" t="str">
        <f ca="1">IFERROR(__xludf.DUMMYFUNCTION("""COMPUTED_VALUE"""),"")</f>
        <v/>
      </c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>
      <c r="A107" s="21">
        <f ca="1">IFERROR(__xludf.DUMMYFUNCTION("""COMPUTED_VALUE"""),1738465308)</f>
        <v>1738465308</v>
      </c>
      <c r="B107" s="19" t="str">
        <f ca="1">IFERROR(__xludf.DUMMYFUNCTION("""COMPUTED_VALUE"""),"promodaluh")</f>
        <v>promodaluh</v>
      </c>
      <c r="C107" s="22" t="str">
        <f ca="1">IFERROR(__xludf.DUMMYFUNCTION("""COMPUTED_VALUE"""),"https://www.instagram.com/promodaluh?igsh=MXFiNW9vNHh5NDBxdA==")</f>
        <v>https://www.instagram.com/promodaluh?igsh=MXFiNW9vNHh5NDBxdA==</v>
      </c>
      <c r="D107" s="19">
        <f ca="1">IFERROR(__xludf.DUMMYFUNCTION("""COMPUTED_VALUE"""),460000)</f>
        <v>460000</v>
      </c>
      <c r="E107" s="22" t="str">
        <f ca="1">IFERROR(__xludf.DUMMYFUNCTION("""COMPUTED_VALUE"""),"https://www.tiktok.com/@cabellosderapunzell?_t=ZM-8xkSRfgHQKE&amp;_r=1")</f>
        <v>https://www.tiktok.com/@cabellosderapunzell?_t=ZM-8xkSRfgHQKE&amp;_r=1</v>
      </c>
      <c r="F107" s="19">
        <f ca="1">IFERROR(__xludf.DUMMYFUNCTION("""COMPUTED_VALUE"""),20000)</f>
        <v>20000</v>
      </c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>
      <c r="A108" s="21">
        <f ca="1">IFERROR(__xludf.DUMMYFUNCTION("""COMPUTED_VALUE"""),776246463)</f>
        <v>776246463</v>
      </c>
      <c r="B108" s="19" t="str">
        <f ca="1">IFERROR(__xludf.DUMMYFUNCTION("""COMPUTED_VALUE"""),"lucasbenevides")</f>
        <v>lucasbenevides</v>
      </c>
      <c r="C108" s="22" t="str">
        <f ca="1">IFERROR(__xludf.DUMMYFUNCTION("""COMPUTED_VALUE"""),"https://www.instagram.com/lucasbenevides.oficial?igsh=YzRmZzd1MXJ2ZzZr")</f>
        <v>https://www.instagram.com/lucasbenevides.oficial?igsh=YzRmZzd1MXJ2ZzZr</v>
      </c>
      <c r="D108" s="19">
        <f ca="1">IFERROR(__xludf.DUMMYFUNCTION("""COMPUTED_VALUE"""),143000)</f>
        <v>143000</v>
      </c>
      <c r="E108" s="22" t="str">
        <f ca="1">IFERROR(__xludf.DUMMYFUNCTION("""COMPUTED_VALUE"""),"https://www.tiktok.com/@lucasbenevides.oficial?_t=ZM-8yqVXK9BYPg&amp;_r=1")</f>
        <v>https://www.tiktok.com/@lucasbenevides.oficial?_t=ZM-8yqVXK9BYPg&amp;_r=1</v>
      </c>
      <c r="F108" s="19">
        <f ca="1">IFERROR(__xludf.DUMMYFUNCTION("""COMPUTED_VALUE"""),136800)</f>
        <v>136800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>
      <c r="A109" s="21">
        <f ca="1">IFERROR(__xludf.DUMMYFUNCTION("""COMPUTED_VALUE"""),1293477138)</f>
        <v>1293477138</v>
      </c>
      <c r="B109" s="19" t="str">
        <f ca="1">IFERROR(__xludf.DUMMYFUNCTION("""COMPUTED_VALUE"""),"wplima1")</f>
        <v>wplima1</v>
      </c>
      <c r="C109" s="22" t="str">
        <f ca="1">IFERROR(__xludf.DUMMYFUNCTION("""COMPUTED_VALUE"""),"https://www.instagram.com/ladotech.com.br/")</f>
        <v>https://www.instagram.com/ladotech.com.br/</v>
      </c>
      <c r="D109" s="19">
        <f ca="1">IFERROR(__xludf.DUMMYFUNCTION("""COMPUTED_VALUE"""),20400)</f>
        <v>20400</v>
      </c>
      <c r="E109" s="22" t="str">
        <f ca="1">IFERROR(__xludf.DUMMYFUNCTION("""COMPUTED_VALUE"""),"https://www.tiktok.com/@ladotech.com.br")</f>
        <v>https://www.tiktok.com/@ladotech.com.br</v>
      </c>
      <c r="F109" s="19">
        <f ca="1">IFERROR(__xludf.DUMMYFUNCTION("""COMPUTED_VALUE"""),10800)</f>
        <v>10800</v>
      </c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>
      <c r="A110" s="21">
        <f ca="1">IFERROR(__xludf.DUMMYFUNCTION("""COMPUTED_VALUE"""),1365722169)</f>
        <v>1365722169</v>
      </c>
      <c r="B110" s="19" t="str">
        <f ca="1">IFERROR(__xludf.DUMMYFUNCTION("""COMPUTED_VALUE"""),"pachecoltda")</f>
        <v>pachecoltda</v>
      </c>
      <c r="C110" s="22" t="str">
        <f ca="1">IFERROR(__xludf.DUMMYFUNCTION("""COMPUTED_VALUE"""),"https://www.instagram.com/rafaelpachecotech/")</f>
        <v>https://www.instagram.com/rafaelpachecotech/</v>
      </c>
      <c r="D110" s="19">
        <f ca="1">IFERROR(__xludf.DUMMYFUNCTION("""COMPUTED_VALUE"""),17600)</f>
        <v>17600</v>
      </c>
      <c r="E110" s="22" t="str">
        <f ca="1">IFERROR(__xludf.DUMMYFUNCTION("""COMPUTED_VALUE"""),"https://www.tiktok.com/@rafaelpachecotech")</f>
        <v>https://www.tiktok.com/@rafaelpachecotech</v>
      </c>
      <c r="F110" s="19">
        <f ca="1">IFERROR(__xludf.DUMMYFUNCTION("""COMPUTED_VALUE"""),52700)</f>
        <v>52700</v>
      </c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>
      <c r="A111" s="21">
        <f ca="1">IFERROR(__xludf.DUMMYFUNCTION("""COMPUTED_VALUE"""),1455887437)</f>
        <v>1455887437</v>
      </c>
      <c r="B111" s="19" t="str">
        <f ca="1">IFERROR(__xludf.DUMMYFUNCTION("""COMPUTED_VALUE"""),"aquitempechincha")</f>
        <v>aquitempechincha</v>
      </c>
      <c r="C111" s="22" t="str">
        <f ca="1">IFERROR(__xludf.DUMMYFUNCTION("""COMPUTED_VALUE"""),"https://www.instagram.com/aquitempechincha")</f>
        <v>https://www.instagram.com/aquitempechincha</v>
      </c>
      <c r="D111" s="19">
        <f ca="1">IFERROR(__xludf.DUMMYFUNCTION("""COMPUTED_VALUE"""),179000)</f>
        <v>179000</v>
      </c>
      <c r="E111" s="22" t="str">
        <f ca="1">IFERROR(__xludf.DUMMYFUNCTION("""COMPUTED_VALUE"""),"https://www.tiktok.com/@aquitempechincha")</f>
        <v>https://www.tiktok.com/@aquitempechincha</v>
      </c>
      <c r="F111" s="19">
        <f ca="1">IFERROR(__xludf.DUMMYFUNCTION("""COMPUTED_VALUE"""),7861)</f>
        <v>7861</v>
      </c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>
      <c r="A112" s="21">
        <f ca="1">IFERROR(__xludf.DUMMYFUNCTION("""COMPUTED_VALUE"""),628036387)</f>
        <v>628036387</v>
      </c>
      <c r="B112" s="19" t="str">
        <f ca="1">IFERROR(__xludf.DUMMYFUNCTION("""COMPUTED_VALUE"""),"fiaspo")</f>
        <v>fiaspo</v>
      </c>
      <c r="C112" s="22" t="str">
        <f ca="1">IFERROR(__xludf.DUMMYFUNCTION("""COMPUTED_VALUE"""),"https://www.instagram.com/fiaspo/")</f>
        <v>https://www.instagram.com/fiaspo/</v>
      </c>
      <c r="D112" s="19">
        <f ca="1">IFERROR(__xludf.DUMMYFUNCTION("""COMPUTED_VALUE"""),214000)</f>
        <v>214000</v>
      </c>
      <c r="E112" s="22" t="str">
        <f ca="1">IFERROR(__xludf.DUMMYFUNCTION("""COMPUTED_VALUE"""),"https://www.tiktok.com/@Fiaspo")</f>
        <v>https://www.tiktok.com/@Fiaspo</v>
      </c>
      <c r="F112" s="19">
        <f ca="1">IFERROR(__xludf.DUMMYFUNCTION("""COMPUTED_VALUE"""),761000)</f>
        <v>761000</v>
      </c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>
      <c r="A113" s="21">
        <f ca="1">IFERROR(__xludf.DUMMYFUNCTION("""COMPUTED_VALUE"""),1586620439)</f>
        <v>1586620439</v>
      </c>
      <c r="B113" s="19" t="str">
        <f ca="1">IFERROR(__xludf.DUMMYFUNCTION("""COMPUTED_VALUE"""),"tabaratassoo")</f>
        <v>tabaratassoo</v>
      </c>
      <c r="C113" s="22" t="str">
        <f ca="1">IFERROR(__xludf.DUMMYFUNCTION("""COMPUTED_VALUE"""),"https://www.instagram.com/maa_teus/")</f>
        <v>https://www.instagram.com/maa_teus/</v>
      </c>
      <c r="D113" s="19">
        <f ca="1">IFERROR(__xludf.DUMMYFUNCTION("""COMPUTED_VALUE"""),1230)</f>
        <v>1230</v>
      </c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>
      <c r="A114" s="21">
        <f ca="1">IFERROR(__xludf.DUMMYFUNCTION("""COMPUTED_VALUE"""),190396660)</f>
        <v>190396660</v>
      </c>
      <c r="B114" s="19" t="str">
        <f ca="1">IFERROR(__xludf.DUMMYFUNCTION("""COMPUTED_VALUE"""),"lea.fabullosa14")</f>
        <v>lea.fabullosa14</v>
      </c>
      <c r="C114" s="22" t="str">
        <f ca="1">IFERROR(__xludf.DUMMYFUNCTION("""COMPUTED_VALUE"""),"https://www.instagram.com/achadosdascar?igsh=MXd0N3Q3djc5cDQ1dQ%3D%3D&amp;utm_source=qr")</f>
        <v>https://www.instagram.com/achadosdascar?igsh=MXd0N3Q3djc5cDQ1dQ%3D%3D&amp;utm_source=qr</v>
      </c>
      <c r="D114" s="19">
        <f ca="1">IFERROR(__xludf.DUMMYFUNCTION("""COMPUTED_VALUE"""),80000)</f>
        <v>80000</v>
      </c>
      <c r="E114" s="22" t="str">
        <f ca="1">IFERROR(__xludf.DUMMYFUNCTION("""COMPUTED_VALUE"""),"https://www.tiktok.com/@fscarx?_t=ZM-8ysySvvhsP8&amp;_r=1")</f>
        <v>https://www.tiktok.com/@fscarx?_t=ZM-8ysySvvhsP8&amp;_r=1</v>
      </c>
      <c r="F114" s="19">
        <f ca="1">IFERROR(__xludf.DUMMYFUNCTION("""COMPUTED_VALUE"""),4961)</f>
        <v>4961</v>
      </c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>
      <c r="A115" s="21">
        <f ca="1">IFERROR(__xludf.DUMMYFUNCTION("""COMPUTED_VALUE"""),1426514854)</f>
        <v>1426514854</v>
      </c>
      <c r="B115" s="19" t="str">
        <f ca="1">IFERROR(__xludf.DUMMYFUNCTION("""COMPUTED_VALUE"""),"canalrssv")</f>
        <v>canalrssv</v>
      </c>
      <c r="C115" s="19" t="str">
        <f ca="1">IFERROR(__xludf.DUMMYFUNCTION("""COMPUTED_VALUE"""),"")</f>
        <v/>
      </c>
      <c r="D115" s="19" t="str">
        <f ca="1">IFERROR(__xludf.DUMMYFUNCTION("""COMPUTED_VALUE"""),"")</f>
        <v/>
      </c>
      <c r="E115" s="19" t="str">
        <f ca="1">IFERROR(__xludf.DUMMYFUNCTION("""COMPUTED_VALUE"""),"")</f>
        <v/>
      </c>
      <c r="F115" s="19" t="str">
        <f ca="1">IFERROR(__xludf.DUMMYFUNCTION("""COMPUTED_VALUE"""),"")</f>
        <v/>
      </c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>
      <c r="A116" s="21">
        <f ca="1">IFERROR(__xludf.DUMMYFUNCTION("""COMPUTED_VALUE"""),127000419)</f>
        <v>127000419</v>
      </c>
      <c r="B116" s="19" t="str">
        <f ca="1">IFERROR(__xludf.DUMMYFUNCTION("""COMPUTED_VALUE"""),"portalmenorpreco")</f>
        <v>portalmenorpreco</v>
      </c>
      <c r="C116" s="22" t="str">
        <f ca="1">IFERROR(__xludf.DUMMYFUNCTION("""COMPUTED_VALUE"""),"https://www.instagram.com/grupomenorpreco/")</f>
        <v>https://www.instagram.com/grupomenorpreco/</v>
      </c>
      <c r="D116" s="19">
        <f ca="1">IFERROR(__xludf.DUMMYFUNCTION("""COMPUTED_VALUE"""),5295)</f>
        <v>5295</v>
      </c>
      <c r="E116" s="22" t="str">
        <f ca="1">IFERROR(__xludf.DUMMYFUNCTION("""COMPUTED_VALUE"""),"https://www.tiktok.com/@grupo.menor.preco?_t=ZM-8yIPBb9mlVN&amp;_r=1")</f>
        <v>https://www.tiktok.com/@grupo.menor.preco?_t=ZM-8yIPBb9mlVN&amp;_r=1</v>
      </c>
      <c r="F116" s="19">
        <f ca="1">IFERROR(__xludf.DUMMYFUNCTION("""COMPUTED_VALUE"""),12)</f>
        <v>12</v>
      </c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>
      <c r="A117" s="21">
        <f ca="1">IFERROR(__xludf.DUMMYFUNCTION("""COMPUTED_VALUE"""),149277109)</f>
        <v>149277109</v>
      </c>
      <c r="B117" s="19" t="str">
        <f ca="1">IFERROR(__xludf.DUMMYFUNCTION("""COMPUTED_VALUE"""),"ilustratop")</f>
        <v>ilustratop</v>
      </c>
      <c r="C117" s="22" t="str">
        <f ca="1">IFERROR(__xludf.DUMMYFUNCTION("""COMPUTED_VALUE"""),"https://www.youtube.com/ilustratop")</f>
        <v>https://www.youtube.com/ilustratop</v>
      </c>
      <c r="D117" s="19">
        <f ca="1">IFERROR(__xludf.DUMMYFUNCTION("""COMPUTED_VALUE"""),6710)</f>
        <v>6710</v>
      </c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>
      <c r="A118" s="21">
        <f ca="1">IFERROR(__xludf.DUMMYFUNCTION("""COMPUTED_VALUE"""),2202505476)</f>
        <v>2202505476</v>
      </c>
      <c r="B118" s="19" t="str">
        <f ca="1">IFERROR(__xludf.DUMMYFUNCTION("""COMPUTED_VALUE"""),"afneto_ofertas")</f>
        <v>afneto_ofertas</v>
      </c>
      <c r="C118" s="22" t="str">
        <f ca="1">IFERROR(__xludf.DUMMYFUNCTION("""COMPUTED_VALUE"""),"https://www.instagram.com/achados_afneto/")</f>
        <v>https://www.instagram.com/achados_afneto/</v>
      </c>
      <c r="D118" s="19">
        <f ca="1">IFERROR(__xludf.DUMMYFUNCTION("""COMPUTED_VALUE"""),41000)</f>
        <v>41000</v>
      </c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>
      <c r="A119" s="21">
        <f ca="1">IFERROR(__xludf.DUMMYFUNCTION("""COMPUTED_VALUE"""),4621837)</f>
        <v>4621837</v>
      </c>
      <c r="B119" s="19" t="str">
        <f ca="1">IFERROR(__xludf.DUMMYFUNCTION("""COMPUTED_VALUE"""),"achadinhoscomcarol")</f>
        <v>achadinhoscomcarol</v>
      </c>
      <c r="C119" s="22" t="str">
        <f ca="1">IFERROR(__xludf.DUMMYFUNCTION("""COMPUTED_VALUE"""),"https://www.instagram.com/achadinhoscomcarol?igsh=MXF4NGhmcXdtcGdqYQ%3D%3D&amp;utm_source=qr")</f>
        <v>https://www.instagram.com/achadinhoscomcarol?igsh=MXF4NGhmcXdtcGdqYQ%3D%3D&amp;utm_source=qr</v>
      </c>
      <c r="D119" s="19">
        <f ca="1">IFERROR(__xludf.DUMMYFUNCTION("""COMPUTED_VALUE"""),29000)</f>
        <v>29000</v>
      </c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>
      <c r="A120" s="21">
        <f ca="1">IFERROR(__xludf.DUMMYFUNCTION("""COMPUTED_VALUE"""),623373248)</f>
        <v>623373248</v>
      </c>
      <c r="B120" s="19" t="str">
        <f ca="1">IFERROR(__xludf.DUMMYFUNCTION("""COMPUTED_VALUE"""),"eumarkim")</f>
        <v>eumarkim</v>
      </c>
      <c r="C120" s="19" t="str">
        <f ca="1">IFERROR(__xludf.DUMMYFUNCTION("""COMPUTED_VALUE"""),"https://www.instagram.com/emipefps/  -  Tem o canal do Youtube tambem: https://www.youtube.com/@_emipefps")</f>
        <v>https://www.instagram.com/emipefps/  -  Tem o canal do Youtube tambem: https://www.youtube.com/@_emipefps</v>
      </c>
      <c r="D120" s="19">
        <f ca="1">IFERROR(__xludf.DUMMYFUNCTION("""COMPUTED_VALUE"""),90)</f>
        <v>90</v>
      </c>
      <c r="E120" s="22" t="str">
        <f ca="1">IFERROR(__xludf.DUMMYFUNCTION("""COMPUTED_VALUE"""),"https://www.tiktok.com/@emipefps")</f>
        <v>https://www.tiktok.com/@emipefps</v>
      </c>
      <c r="F120" s="19">
        <f ca="1">IFERROR(__xludf.DUMMYFUNCTION("""COMPUTED_VALUE"""),7265)</f>
        <v>7265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>
      <c r="A121" s="21">
        <f ca="1">IFERROR(__xludf.DUMMYFUNCTION("""COMPUTED_VALUE"""),1453179131)</f>
        <v>1453179131</v>
      </c>
      <c r="B121" s="19" t="str">
        <f ca="1">IFERROR(__xludf.DUMMYFUNCTION("""COMPUTED_VALUE"""),"topdescontosoficial")</f>
        <v>topdescontosoficial</v>
      </c>
      <c r="C121" s="22" t="str">
        <f ca="1">IFERROR(__xludf.DUMMYFUNCTION("""COMPUTED_VALUE"""),"https://www.instagram.com/topdescontosoficial/")</f>
        <v>https://www.instagram.com/topdescontosoficial/</v>
      </c>
      <c r="D121" s="19">
        <f ca="1">IFERROR(__xludf.DUMMYFUNCTION("""COMPUTED_VALUE"""),143000)</f>
        <v>143000</v>
      </c>
      <c r="E121" s="22" t="str">
        <f ca="1">IFERROR(__xludf.DUMMYFUNCTION("""COMPUTED_VALUE"""),"https://www.tiktok.com/@topdescontosoficial")</f>
        <v>https://www.tiktok.com/@topdescontosoficial</v>
      </c>
      <c r="F121" s="19">
        <f ca="1">IFERROR(__xludf.DUMMYFUNCTION("""COMPUTED_VALUE"""),79)</f>
        <v>79</v>
      </c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>
      <c r="A122" s="21">
        <f ca="1">IFERROR(__xludf.DUMMYFUNCTION("""COMPUTED_VALUE"""),194367917)</f>
        <v>194367917</v>
      </c>
      <c r="B122" s="19" t="str">
        <f ca="1">IFERROR(__xludf.DUMMYFUNCTION("""COMPUTED_VALUE"""),"coma5097348")</f>
        <v>coma5097348</v>
      </c>
      <c r="C122" s="19" t="str">
        <f ca="1">IFERROR(__xludf.DUMMYFUNCTION("""COMPUTED_VALUE"""),"")</f>
        <v/>
      </c>
      <c r="D122" s="19" t="str">
        <f ca="1">IFERROR(__xludf.DUMMYFUNCTION("""COMPUTED_VALUE"""),"")</f>
        <v/>
      </c>
      <c r="E122" s="19" t="str">
        <f ca="1">IFERROR(__xludf.DUMMYFUNCTION("""COMPUTED_VALUE"""),"")</f>
        <v/>
      </c>
      <c r="F122" s="19" t="str">
        <f ca="1">IFERROR(__xludf.DUMMYFUNCTION("""COMPUTED_VALUE"""),"")</f>
        <v/>
      </c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>
      <c r="A123" s="21">
        <f ca="1">IFERROR(__xludf.DUMMYFUNCTION("""COMPUTED_VALUE"""),618183409)</f>
        <v>618183409</v>
      </c>
      <c r="B123" s="19" t="str">
        <f ca="1">IFERROR(__xludf.DUMMYFUNCTION("""COMPUTED_VALUE"""),"achadosdaccarol")</f>
        <v>achadosdaccarol</v>
      </c>
      <c r="C123" s="22" t="str">
        <f ca="1">IFERROR(__xludf.DUMMYFUNCTION("""COMPUTED_VALUE"""),"https://www.instagram.com/achadosdaccarol?igsh=OTRwZ2Zoa2N6dWlm&amp;utm_source=qr")</f>
        <v>https://www.instagram.com/achadosdaccarol?igsh=OTRwZ2Zoa2N6dWlm&amp;utm_source=qr</v>
      </c>
      <c r="D123" s="19">
        <f ca="1">IFERROR(__xludf.DUMMYFUNCTION("""COMPUTED_VALUE"""),267910)</f>
        <v>267910</v>
      </c>
      <c r="E123" s="22" t="str">
        <f ca="1">IFERROR(__xludf.DUMMYFUNCTION("""COMPUTED_VALUE"""),"https://www.tiktok.com/@achadosdaccaarol?_t=ZM-8xhtXq0mHSv&amp;_r=1")</f>
        <v>https://www.tiktok.com/@achadosdaccaarol?_t=ZM-8xhtXq0mHSv&amp;_r=1</v>
      </c>
      <c r="F123" s="19">
        <f ca="1">IFERROR(__xludf.DUMMYFUNCTION("""COMPUTED_VALUE"""),68)</f>
        <v>68</v>
      </c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>
      <c r="A124" s="21">
        <f ca="1">IFERROR(__xludf.DUMMYFUNCTION("""COMPUTED_VALUE"""),498902543)</f>
        <v>498902543</v>
      </c>
      <c r="B124" s="19" t="str">
        <f ca="1">IFERROR(__xludf.DUMMYFUNCTION("""COMPUTED_VALUE"""),"gpcrpromo")</f>
        <v>gpcrpromo</v>
      </c>
      <c r="C124" s="22" t="str">
        <f ca="1">IFERROR(__xludf.DUMMYFUNCTION("""COMPUTED_VALUE"""),"https://www.instagram.com/pobre_pcruim/")</f>
        <v>https://www.instagram.com/pobre_pcruim/</v>
      </c>
      <c r="D124" s="19">
        <f ca="1">IFERROR(__xludf.DUMMYFUNCTION("""COMPUTED_VALUE"""),8)</f>
        <v>8</v>
      </c>
      <c r="E124" s="22" t="str">
        <f ca="1">IFERROR(__xludf.DUMMYFUNCTION("""COMPUTED_VALUE"""),"https://www.tiktok.com/@pobre_pcruim")</f>
        <v>https://www.tiktok.com/@pobre_pcruim</v>
      </c>
      <c r="F124" s="19">
        <f ca="1">IFERROR(__xludf.DUMMYFUNCTION("""COMPUTED_VALUE"""),2017)</f>
        <v>2017</v>
      </c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>
      <c r="A125" s="21">
        <f ca="1">IFERROR(__xludf.DUMMYFUNCTION("""COMPUTED_VALUE"""),1425333968)</f>
        <v>1425333968</v>
      </c>
      <c r="B125" s="19" t="str">
        <f ca="1">IFERROR(__xludf.DUMMYFUNCTION("""COMPUTED_VALUE"""),"dandan20230716072433")</f>
        <v>dandan20230716072433</v>
      </c>
      <c r="C125" s="22" t="str">
        <f ca="1">IFERROR(__xludf.DUMMYFUNCTION("""COMPUTED_VALUE"""),"https://www.instagram.com/danferreiratech/")</f>
        <v>https://www.instagram.com/danferreiratech/</v>
      </c>
      <c r="D125" s="19">
        <f ca="1">IFERROR(__xludf.DUMMYFUNCTION("""COMPUTED_VALUE"""),7800)</f>
        <v>7800</v>
      </c>
      <c r="E125" s="22" t="str">
        <f ca="1">IFERROR(__xludf.DUMMYFUNCTION("""COMPUTED_VALUE"""),"https://www.tiktok.com/@danferreiratech")</f>
        <v>https://www.tiktok.com/@danferreiratech</v>
      </c>
      <c r="F125" s="19">
        <f ca="1">IFERROR(__xludf.DUMMYFUNCTION("""COMPUTED_VALUE"""),1800)</f>
        <v>1800</v>
      </c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>
      <c r="A126" s="21">
        <f ca="1">IFERROR(__xludf.DUMMYFUNCTION("""COMPUTED_VALUE"""),167650333)</f>
        <v>167650333</v>
      </c>
      <c r="B126" s="19" t="str">
        <f ca="1">IFERROR(__xludf.DUMMYFUNCTION("""COMPUTED_VALUE"""),"alishow")</f>
        <v>alishow</v>
      </c>
      <c r="C126" s="22" t="str">
        <f ca="1">IFERROR(__xludf.DUMMYFUNCTION("""COMPUTED_VALUE"""),"https://www.instagram.com/allan_belarmino/")</f>
        <v>https://www.instagram.com/allan_belarmino/</v>
      </c>
      <c r="D126" s="19">
        <f ca="1">IFERROR(__xludf.DUMMYFUNCTION("""COMPUTED_VALUE"""),942)</f>
        <v>942</v>
      </c>
      <c r="E126" s="22" t="str">
        <f ca="1">IFERROR(__xludf.DUMMYFUNCTION("""COMPUTED_VALUE"""),"https://www.tiktok.com/@alishow_oficial")</f>
        <v>https://www.tiktok.com/@alishow_oficial</v>
      </c>
      <c r="F126" s="19">
        <f ca="1">IFERROR(__xludf.DUMMYFUNCTION("""COMPUTED_VALUE"""),698)</f>
        <v>698</v>
      </c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>
      <c r="A127" s="21">
        <f ca="1">IFERROR(__xludf.DUMMYFUNCTION("""COMPUTED_VALUE"""),1231082308)</f>
        <v>1231082308</v>
      </c>
      <c r="B127" s="19" t="str">
        <f ca="1">IFERROR(__xludf.DUMMYFUNCTION("""COMPUTED_VALUE"""),"m3midia")</f>
        <v>m3midia</v>
      </c>
      <c r="C127" s="22" t="str">
        <f ca="1">IFERROR(__xludf.DUMMYFUNCTION("""COMPUTED_VALUE"""),"https://www.instagram.com/oficinadanetoficial/?hl=pt-br")</f>
        <v>https://www.instagram.com/oficinadanetoficial/?hl=pt-br</v>
      </c>
      <c r="D127" s="19">
        <f ca="1">IFERROR(__xludf.DUMMYFUNCTION("""COMPUTED_VALUE"""),16700)</f>
        <v>16700</v>
      </c>
      <c r="E127" s="22" t="str">
        <f ca="1">IFERROR(__xludf.DUMMYFUNCTION("""COMPUTED_VALUE"""),"https://www.tiktok.com/@oficinadanetoficial")</f>
        <v>https://www.tiktok.com/@oficinadanetoficial</v>
      </c>
      <c r="F127" s="19">
        <f ca="1">IFERROR(__xludf.DUMMYFUNCTION("""COMPUTED_VALUE"""),6400)</f>
        <v>6400</v>
      </c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>
      <c r="A128" s="21">
        <f ca="1">IFERROR(__xludf.DUMMYFUNCTION("""COMPUTED_VALUE"""),8964710)</f>
        <v>8964710</v>
      </c>
      <c r="B128" s="19" t="str">
        <f ca="1">IFERROR(__xludf.DUMMYFUNCTION("""COMPUTED_VALUE"""),"upofertas")</f>
        <v>upofertas</v>
      </c>
      <c r="C128" s="19" t="str">
        <f ca="1">IFERROR(__xludf.DUMMYFUNCTION("""COMPUTED_VALUE"""),"")</f>
        <v/>
      </c>
      <c r="D128" s="19" t="str">
        <f ca="1">IFERROR(__xludf.DUMMYFUNCTION("""COMPUTED_VALUE"""),"")</f>
        <v/>
      </c>
      <c r="E128" s="19" t="str">
        <f ca="1">IFERROR(__xludf.DUMMYFUNCTION("""COMPUTED_VALUE"""),"")</f>
        <v/>
      </c>
      <c r="F128" s="19" t="str">
        <f ca="1">IFERROR(__xludf.DUMMYFUNCTION("""COMPUTED_VALUE"""),"")</f>
        <v/>
      </c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>
      <c r="A129" s="21">
        <f ca="1">IFERROR(__xludf.DUMMYFUNCTION("""COMPUTED_VALUE"""),673851790)</f>
        <v>673851790</v>
      </c>
      <c r="B129" s="19" t="str">
        <f ca="1">IFERROR(__xludf.DUMMYFUNCTION("""COMPUTED_VALUE"""),"paymentsclub")</f>
        <v>paymentsclub</v>
      </c>
      <c r="C129" s="22" t="str">
        <f ca="1">IFERROR(__xludf.DUMMYFUNCTION("""COMPUTED_VALUE"""),"https://www.instagram.com/sereiapromo?igsh=MTR5eGQ3ZXdpeHd0Zw%3D%3D&amp;utm_source=qr")</f>
        <v>https://www.instagram.com/sereiapromo?igsh=MTR5eGQ3ZXdpeHd0Zw%3D%3D&amp;utm_source=qr</v>
      </c>
      <c r="D129" s="19">
        <f ca="1">IFERROR(__xludf.DUMMYFUNCTION("""COMPUTED_VALUE"""),20000)</f>
        <v>20000</v>
      </c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>
      <c r="A130" s="21">
        <f ca="1">IFERROR(__xludf.DUMMYFUNCTION("""COMPUTED_VALUE"""),1712874783)</f>
        <v>1712874783</v>
      </c>
      <c r="B130" s="19" t="str">
        <f ca="1">IFERROR(__xludf.DUMMYFUNCTION("""COMPUTED_VALUE"""),"nerddeplantao")</f>
        <v>nerddeplantao</v>
      </c>
      <c r="C130" s="19" t="str">
        <f ca="1">IFERROR(__xludf.DUMMYFUNCTION("""COMPUTED_VALUE"""),"")</f>
        <v/>
      </c>
      <c r="D130" s="19" t="str">
        <f ca="1">IFERROR(__xludf.DUMMYFUNCTION("""COMPUTED_VALUE"""),"")</f>
        <v/>
      </c>
      <c r="E130" s="19" t="str">
        <f ca="1">IFERROR(__xludf.DUMMYFUNCTION("""COMPUTED_VALUE"""),"")</f>
        <v/>
      </c>
      <c r="F130" s="19" t="str">
        <f ca="1">IFERROR(__xludf.DUMMYFUNCTION("""COMPUTED_VALUE"""),"")</f>
        <v/>
      </c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>
      <c r="A131" s="21">
        <f ca="1">IFERROR(__xludf.DUMMYFUNCTION("""COMPUTED_VALUE"""),1816546951)</f>
        <v>1816546951</v>
      </c>
      <c r="B131" s="19" t="str">
        <f ca="1">IFERROR(__xludf.DUMMYFUNCTION("""COMPUTED_VALUE"""),"affilion")</f>
        <v>affilion</v>
      </c>
      <c r="C131" s="22" t="str">
        <f ca="1">IFERROR(__xludf.DUMMYFUNCTION("""COMPUTED_VALUE"""),"https://www.instagram.com/affili.on/")</f>
        <v>https://www.instagram.com/affili.on/</v>
      </c>
      <c r="D131" s="19">
        <f ca="1">IFERROR(__xludf.DUMMYFUNCTION("""COMPUTED_VALUE"""),100)</f>
        <v>100</v>
      </c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>
      <c r="A132" s="21">
        <f ca="1">IFERROR(__xludf.DUMMYFUNCTION("""COMPUTED_VALUE"""),2219662011)</f>
        <v>2219662011</v>
      </c>
      <c r="B132" s="19" t="str">
        <f ca="1">IFERROR(__xludf.DUMMYFUNCTION("""COMPUTED_VALUE"""),"duari")</f>
        <v>duari</v>
      </c>
      <c r="C132" s="22" t="str">
        <f ca="1">IFERROR(__xludf.DUMMYFUNCTION("""COMPUTED_VALUE"""),"https://www.instagram.com/canal60up?igsh=eGhnam8zazdrcmhn&amp;utm_source=qr")</f>
        <v>https://www.instagram.com/canal60up?igsh=eGhnam8zazdrcmhn&amp;utm_source=qr</v>
      </c>
      <c r="D132" s="19">
        <f ca="1">IFERROR(__xludf.DUMMYFUNCTION("""COMPUTED_VALUE"""),26000)</f>
        <v>26000</v>
      </c>
      <c r="E132" s="22" t="str">
        <f ca="1">IFERROR(__xludf.DUMMYFUNCTION("""COMPUTED_VALUE"""),"https://www.tiktok.com/@durizzo?_t=ZM-8xhkO7cZTD3&amp;_r=1")</f>
        <v>https://www.tiktok.com/@durizzo?_t=ZM-8xhkO7cZTD3&amp;_r=1</v>
      </c>
      <c r="F132" s="19">
        <f ca="1">IFERROR(__xludf.DUMMYFUNCTION("""COMPUTED_VALUE"""),15900)</f>
        <v>15900</v>
      </c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>
      <c r="A133" s="21">
        <f ca="1">IFERROR(__xludf.DUMMYFUNCTION("""COMPUTED_VALUE"""),8467064)</f>
        <v>8467064</v>
      </c>
      <c r="B133" s="19" t="str">
        <f ca="1">IFERROR(__xludf.DUMMYFUNCTION("""COMPUTED_VALUE"""),"descontogamer")</f>
        <v>descontogamer</v>
      </c>
      <c r="C133" s="22" t="str">
        <f ca="1">IFERROR(__xludf.DUMMYFUNCTION("""COMPUTED_VALUE"""),"Instagram.com")</f>
        <v>Instagram.com</v>
      </c>
      <c r="D133" s="19">
        <f ca="1">IFERROR(__xludf.DUMMYFUNCTION("""COMPUTED_VALUE"""),0)</f>
        <v>0</v>
      </c>
      <c r="E133" s="22" t="str">
        <f ca="1">IFERROR(__xludf.DUMMYFUNCTION("""COMPUTED_VALUE"""),"Tiktok.com")</f>
        <v>Tiktok.com</v>
      </c>
      <c r="F133" s="19">
        <f ca="1">IFERROR(__xludf.DUMMYFUNCTION("""COMPUTED_VALUE"""),0)</f>
        <v>0</v>
      </c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>
      <c r="A134" s="21">
        <f ca="1">IFERROR(__xludf.DUMMYFUNCTION("""COMPUTED_VALUE"""),1477441758)</f>
        <v>1477441758</v>
      </c>
      <c r="B134" s="19" t="str">
        <f ca="1">IFERROR(__xludf.DUMMYFUNCTION("""COMPUTED_VALUE"""),"meuplaystation")</f>
        <v>meuplaystation</v>
      </c>
      <c r="C134" s="22" t="str">
        <f ca="1">IFERROR(__xludf.DUMMYFUNCTION("""COMPUTED_VALUE"""),"https://www.instagram.com/meups_oficial/")</f>
        <v>https://www.instagram.com/meups_oficial/</v>
      </c>
      <c r="D134" s="19">
        <f ca="1">IFERROR(__xludf.DUMMYFUNCTION("""COMPUTED_VALUE"""),616000)</f>
        <v>616000</v>
      </c>
      <c r="E134" s="22" t="str">
        <f ca="1">IFERROR(__xludf.DUMMYFUNCTION("""COMPUTED_VALUE"""),"https://www.tiktok.com/@meups_oficial")</f>
        <v>https://www.tiktok.com/@meups_oficial</v>
      </c>
      <c r="F134" s="19">
        <f ca="1">IFERROR(__xludf.DUMMYFUNCTION("""COMPUTED_VALUE"""),108000)</f>
        <v>108000</v>
      </c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>
      <c r="A135" s="21">
        <f ca="1">IFERROR(__xludf.DUMMYFUNCTION("""COMPUTED_VALUE"""),1391252882)</f>
        <v>1391252882</v>
      </c>
      <c r="B135" s="19" t="str">
        <f ca="1">IFERROR(__xludf.DUMMYFUNCTION("""COMPUTED_VALUE"""),"temdetudotchelo")</f>
        <v>temdetudotchelo</v>
      </c>
      <c r="C135" s="22" t="str">
        <f ca="1">IFERROR(__xludf.DUMMYFUNCTION("""COMPUTED_VALUE"""),"https://www.instagram.com/temdetudotchelo/")</f>
        <v>https://www.instagram.com/temdetudotchelo/</v>
      </c>
      <c r="D135" s="19">
        <f ca="1">IFERROR(__xludf.DUMMYFUNCTION("""COMPUTED_VALUE"""),11000)</f>
        <v>11000</v>
      </c>
      <c r="E135" s="22" t="str">
        <f ca="1">IFERROR(__xludf.DUMMYFUNCTION("""COMPUTED_VALUE"""),"https://www.tiktok.com/@temdetudotchelo")</f>
        <v>https://www.tiktok.com/@temdetudotchelo</v>
      </c>
      <c r="F135" s="19">
        <f ca="1">IFERROR(__xludf.DUMMYFUNCTION("""COMPUTED_VALUE"""),500)</f>
        <v>500</v>
      </c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>
      <c r="A136" s="21">
        <f ca="1">IFERROR(__xludf.DUMMYFUNCTION("""COMPUTED_VALUE"""),2428615837)</f>
        <v>2428615837</v>
      </c>
      <c r="B136" s="19" t="str">
        <f ca="1">IFERROR(__xludf.DUMMYFUNCTION("""COMPUTED_VALUE"""),"vendas.shopee.igor8")</f>
        <v>vendas.shopee.igor8</v>
      </c>
      <c r="C136" s="22" t="str">
        <f ca="1">IFERROR(__xludf.DUMMYFUNCTION("""COMPUTED_VALUE"""),"https://www.instagram.com/achadinhodahora0?igsh=MTNhbTBtamN0bG1zcg%3D%3D&amp;utm_source=qr")</f>
        <v>https://www.instagram.com/achadinhodahora0?igsh=MTNhbTBtamN0bG1zcg%3D%3D&amp;utm_source=qr</v>
      </c>
      <c r="D136" s="19">
        <f ca="1">IFERROR(__xludf.DUMMYFUNCTION("""COMPUTED_VALUE"""),230000)</f>
        <v>230000</v>
      </c>
      <c r="E136" s="19"/>
      <c r="F136" s="19">
        <f ca="1">IFERROR(__xludf.DUMMYFUNCTION("""COMPUTED_VALUE"""),0)</f>
        <v>0</v>
      </c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>
      <c r="A137" s="21">
        <f ca="1">IFERROR(__xludf.DUMMYFUNCTION("""COMPUTED_VALUE"""),1241344300)</f>
        <v>1241344300</v>
      </c>
      <c r="B137" s="19" t="str">
        <f ca="1">IFERROR(__xludf.DUMMYFUNCTION("""COMPUTED_VALUE"""),"precinnnn")</f>
        <v>precinnnn</v>
      </c>
      <c r="C137" s="22" t="str">
        <f ca="1">IFERROR(__xludf.DUMMYFUNCTION("""COMPUTED_VALUE"""),"https://www.instagram.com/fazaboadescontos?igsh=MXZtcDF4eDAxMzl5bg==")</f>
        <v>https://www.instagram.com/fazaboadescontos?igsh=MXZtcDF4eDAxMzl5bg==</v>
      </c>
      <c r="D137" s="19">
        <f ca="1">IFERROR(__xludf.DUMMYFUNCTION("""COMPUTED_VALUE"""),20)</f>
        <v>20</v>
      </c>
      <c r="E137" s="19" t="str">
        <f ca="1">IFERROR(__xludf.DUMMYFUNCTION("""COMPUTED_VALUE"""),"nao.temos")</f>
        <v>nao.temos</v>
      </c>
      <c r="F137" s="19">
        <f ca="1">IFERROR(__xludf.DUMMYFUNCTION("""COMPUTED_VALUE"""),0)</f>
        <v>0</v>
      </c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>
      <c r="A138" s="21">
        <f ca="1">IFERROR(__xludf.DUMMYFUNCTION("""COMPUTED_VALUE"""),382194202)</f>
        <v>382194202</v>
      </c>
      <c r="B138" s="19" t="str">
        <f ca="1">IFERROR(__xludf.DUMMYFUNCTION("""COMPUTED_VALUE"""),"igor")</f>
        <v>igor</v>
      </c>
      <c r="C138" s="22" t="str">
        <f ca="1">IFERROR(__xludf.DUMMYFUNCTION("""COMPUTED_VALUE"""),"https://www.instagram.com/estreladosom?igsh=cnkxam05OXM0bjAw")</f>
        <v>https://www.instagram.com/estreladosom?igsh=cnkxam05OXM0bjAw</v>
      </c>
      <c r="D138" s="19">
        <f ca="1">IFERROR(__xludf.DUMMYFUNCTION("""COMPUTED_VALUE"""),0)</f>
        <v>0</v>
      </c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>
      <c r="A139" s="21">
        <f ca="1">IFERROR(__xludf.DUMMYFUNCTION("""COMPUTED_VALUE"""),1425545713)</f>
        <v>1425545713</v>
      </c>
      <c r="B139" s="19" t="str">
        <f ca="1">IFERROR(__xludf.DUMMYFUNCTION("""COMPUTED_VALUE"""),"wolfpromos")</f>
        <v>wolfpromos</v>
      </c>
      <c r="C139" s="22" t="str">
        <f ca="1">IFERROR(__xludf.DUMMYFUNCTION("""COMPUTED_VALUE"""),"https://www.instagram.com/wolf.ofertas/")</f>
        <v>https://www.instagram.com/wolf.ofertas/</v>
      </c>
      <c r="D139" s="19">
        <f ca="1">IFERROR(__xludf.DUMMYFUNCTION("""COMPUTED_VALUE"""),1000)</f>
        <v>1000</v>
      </c>
      <c r="E139" s="22" t="str">
        <f ca="1">IFERROR(__xludf.DUMMYFUNCTION("""COMPUTED_VALUE"""),"https://www.tiktok.com/@wolfpromos")</f>
        <v>https://www.tiktok.com/@wolfpromos</v>
      </c>
      <c r="F139" s="19">
        <f ca="1">IFERROR(__xludf.DUMMYFUNCTION("""COMPUTED_VALUE"""),7000)</f>
        <v>7000</v>
      </c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>
      <c r="A140" s="21">
        <f ca="1">IFERROR(__xludf.DUMMYFUNCTION("""COMPUTED_VALUE"""),2221972417)</f>
        <v>2221972417</v>
      </c>
      <c r="B140" s="19" t="str">
        <f ca="1">IFERROR(__xludf.DUMMYFUNCTION("""COMPUTED_VALUE"""),"pv20250120175912")</f>
        <v>pv20250120175912</v>
      </c>
      <c r="C140" s="22" t="str">
        <f ca="1">IFERROR(__xludf.DUMMYFUNCTION("""COMPUTED_VALUE"""),"https://www.instagram.com/versatilfragrance?igsh=MWoza2RmanBsbzdqeg%3D%3D&amp;utm_source=qr")</f>
        <v>https://www.instagram.com/versatilfragrance?igsh=MWoza2RmanBsbzdqeg%3D%3D&amp;utm_source=qr</v>
      </c>
      <c r="D140" s="19">
        <f ca="1">IFERROR(__xludf.DUMMYFUNCTION("""COMPUTED_VALUE"""),1000)</f>
        <v>1000</v>
      </c>
      <c r="E140" s="22" t="str">
        <f ca="1">IFERROR(__xludf.DUMMYFUNCTION("""COMPUTED_VALUE"""),"https://www.tiktok.com/@versatilfragrance?_t=ZM-8xhm8akRKPW&amp;_r=1")</f>
        <v>https://www.tiktok.com/@versatilfragrance?_t=ZM-8xhm8akRKPW&amp;_r=1</v>
      </c>
      <c r="F140" s="19">
        <f ca="1">IFERROR(__xludf.DUMMYFUNCTION("""COMPUTED_VALUE"""),16000)</f>
        <v>16000</v>
      </c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>
      <c r="A141" s="21">
        <f ca="1">IFERROR(__xludf.DUMMYFUNCTION("""COMPUTED_VALUE"""),2119408571)</f>
        <v>2119408571</v>
      </c>
      <c r="B141" s="19" t="str">
        <f ca="1">IFERROR(__xludf.DUMMYFUNCTION("""COMPUTED_VALUE"""),"lm20241127085611")</f>
        <v>lm20241127085611</v>
      </c>
      <c r="C141" s="19" t="str">
        <f ca="1">IFERROR(__xludf.DUMMYFUNCTION("""COMPUTED_VALUE"""),"")</f>
        <v/>
      </c>
      <c r="D141" s="19" t="str">
        <f ca="1">IFERROR(__xludf.DUMMYFUNCTION("""COMPUTED_VALUE"""),"")</f>
        <v/>
      </c>
      <c r="E141" s="19" t="str">
        <f ca="1">IFERROR(__xludf.DUMMYFUNCTION("""COMPUTED_VALUE"""),"")</f>
        <v/>
      </c>
      <c r="F141" s="19" t="str">
        <f ca="1">IFERROR(__xludf.DUMMYFUNCTION("""COMPUTED_VALUE"""),"")</f>
        <v/>
      </c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>
      <c r="A142" s="21">
        <f ca="1">IFERROR(__xludf.DUMMYFUNCTION("""COMPUTED_VALUE"""),245178092)</f>
        <v>245178092</v>
      </c>
      <c r="B142" s="19" t="str">
        <f ca="1">IFERROR(__xludf.DUMMYFUNCTION("""COMPUTED_VALUE"""),"luandoparedaoo")</f>
        <v>luandoparedaoo</v>
      </c>
      <c r="C142" s="22" t="str">
        <f ca="1">IFERROR(__xludf.DUMMYFUNCTION("""COMPUTED_VALUE"""),"https://www.instagram.com/luandoparedaoo?igsh=MWltZXJ0dGhvdDBwbw==")</f>
        <v>https://www.instagram.com/luandoparedaoo?igsh=MWltZXJ0dGhvdDBwbw==</v>
      </c>
      <c r="D142" s="19">
        <f ca="1">IFERROR(__xludf.DUMMYFUNCTION("""COMPUTED_VALUE"""),593000)</f>
        <v>593000</v>
      </c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>
      <c r="A143" s="21">
        <f ca="1">IFERROR(__xludf.DUMMYFUNCTION("""COMPUTED_VALUE"""),1896897919)</f>
        <v>1896897919</v>
      </c>
      <c r="B143" s="19" t="str">
        <f ca="1">IFERROR(__xludf.DUMMYFUNCTION("""COMPUTED_VALUE"""),"correqtabaratinho")</f>
        <v>correqtabaratinho</v>
      </c>
      <c r="C143" s="19" t="str">
        <f ca="1">IFERROR(__xludf.DUMMYFUNCTION("""COMPUTED_VALUE"""),"")</f>
        <v/>
      </c>
      <c r="D143" s="19" t="str">
        <f ca="1">IFERROR(__xludf.DUMMYFUNCTION("""COMPUTED_VALUE"""),"")</f>
        <v/>
      </c>
      <c r="E143" s="19" t="str">
        <f ca="1">IFERROR(__xludf.DUMMYFUNCTION("""COMPUTED_VALUE"""),"")</f>
        <v/>
      </c>
      <c r="F143" s="19" t="str">
        <f ca="1">IFERROR(__xludf.DUMMYFUNCTION("""COMPUTED_VALUE"""),"")</f>
        <v/>
      </c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>
      <c r="A144" s="21">
        <f ca="1">IFERROR(__xludf.DUMMYFUNCTION("""COMPUTED_VALUE"""),181819375)</f>
        <v>181819375</v>
      </c>
      <c r="B144" s="19" t="str">
        <f ca="1">IFERROR(__xludf.DUMMYFUNCTION("""COMPUTED_VALUE"""),"tecnoart")</f>
        <v>tecnoart</v>
      </c>
      <c r="C144" s="19" t="str">
        <f ca="1">IFERROR(__xludf.DUMMYFUNCTION("""COMPUTED_VALUE"""),"")</f>
        <v/>
      </c>
      <c r="D144" s="19" t="str">
        <f ca="1">IFERROR(__xludf.DUMMYFUNCTION("""COMPUTED_VALUE"""),"")</f>
        <v/>
      </c>
      <c r="E144" s="19" t="str">
        <f ca="1">IFERROR(__xludf.DUMMYFUNCTION("""COMPUTED_VALUE"""),"")</f>
        <v/>
      </c>
      <c r="F144" s="19" t="str">
        <f ca="1">IFERROR(__xludf.DUMMYFUNCTION("""COMPUTED_VALUE"""),"")</f>
        <v/>
      </c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>
      <c r="A145" s="21">
        <f ca="1">IFERROR(__xludf.DUMMYFUNCTION("""COMPUTED_VALUE"""),172902052)</f>
        <v>172902052</v>
      </c>
      <c r="B145" s="19" t="str">
        <f ca="1">IFERROR(__xludf.DUMMYFUNCTION("""COMPUTED_VALUE"""),"ltech")</f>
        <v>ltech</v>
      </c>
      <c r="C145" s="19" t="str">
        <f ca="1">IFERROR(__xludf.DUMMYFUNCTION("""COMPUTED_VALUE"""),"@luan.ltech")</f>
        <v>@luan.ltech</v>
      </c>
      <c r="D145" s="19">
        <f ca="1">IFERROR(__xludf.DUMMYFUNCTION("""COMPUTED_VALUE"""),18000)</f>
        <v>18000</v>
      </c>
      <c r="E145" s="19" t="str">
        <f ca="1">IFERROR(__xludf.DUMMYFUNCTION("""COMPUTED_VALUE"""),"luan.tech")</f>
        <v>luan.tech</v>
      </c>
      <c r="F145" s="19">
        <f ca="1">IFERROR(__xludf.DUMMYFUNCTION("""COMPUTED_VALUE"""),64000)</f>
        <v>64000</v>
      </c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>
      <c r="A146" s="21">
        <f ca="1">IFERROR(__xludf.DUMMYFUNCTION("""COMPUTED_VALUE"""),802143494)</f>
        <v>802143494</v>
      </c>
      <c r="B146" s="19" t="str">
        <f ca="1">IFERROR(__xludf.DUMMYFUNCTION("""COMPUTED_VALUE"""),"topvip")</f>
        <v>topvip</v>
      </c>
      <c r="C146" s="19" t="str">
        <f ca="1">IFERROR(__xludf.DUMMYFUNCTION("""COMPUTED_VALUE"""),"")</f>
        <v/>
      </c>
      <c r="D146" s="19" t="str">
        <f ca="1">IFERROR(__xludf.DUMMYFUNCTION("""COMPUTED_VALUE"""),"")</f>
        <v/>
      </c>
      <c r="E146" s="19" t="str">
        <f ca="1">IFERROR(__xludf.DUMMYFUNCTION("""COMPUTED_VALUE"""),"")</f>
        <v/>
      </c>
      <c r="F146" s="19" t="str">
        <f ca="1">IFERROR(__xludf.DUMMYFUNCTION("""COMPUTED_VALUE"""),"")</f>
        <v/>
      </c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>
      <c r="A147" s="21">
        <f ca="1">IFERROR(__xludf.DUMMYFUNCTION("""COMPUTED_VALUE"""),1531640488)</f>
        <v>1531640488</v>
      </c>
      <c r="B147" s="19" t="str">
        <f ca="1">IFERROR(__xludf.DUMMYFUNCTION("""COMPUTED_VALUE"""),"promobabykidsonlne")</f>
        <v>promobabykidsonlne</v>
      </c>
      <c r="C147" s="22" t="str">
        <f ca="1">IFERROR(__xludf.DUMMYFUNCTION("""COMPUTED_VALUE"""),"https://www.instagram.com/promobabykidsonline/")</f>
        <v>https://www.instagram.com/promobabykidsonline/</v>
      </c>
      <c r="D147" s="19">
        <f ca="1">IFERROR(__xludf.DUMMYFUNCTION("""COMPUTED_VALUE"""),76000)</f>
        <v>76000</v>
      </c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>
      <c r="A148" s="21">
        <f ca="1">IFERROR(__xludf.DUMMYFUNCTION("""COMPUTED_VALUE"""),1423311190)</f>
        <v>1423311190</v>
      </c>
      <c r="B148" s="19" t="str">
        <f ca="1">IFERROR(__xludf.DUMMYFUNCTION("""COMPUTED_VALUE"""),"ofertaodovinil")</f>
        <v>ofertaodovinil</v>
      </c>
      <c r="C148" s="22" t="str">
        <f ca="1">IFERROR(__xludf.DUMMYFUNCTION("""COMPUTED_VALUE"""),"http://instagram.com/ofertaodovinil")</f>
        <v>http://instagram.com/ofertaodovinil</v>
      </c>
      <c r="D148" s="19">
        <f ca="1">IFERROR(__xludf.DUMMYFUNCTION("""COMPUTED_VALUE"""),3700)</f>
        <v>3700</v>
      </c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>
      <c r="A149" s="21">
        <f ca="1">IFERROR(__xludf.DUMMYFUNCTION("""COMPUTED_VALUE"""),193597038)</f>
        <v>193597038</v>
      </c>
      <c r="B149" s="19" t="str">
        <f ca="1">IFERROR(__xludf.DUMMYFUNCTION("""COMPUTED_VALUE"""),"alertacupons")</f>
        <v>alertacupons</v>
      </c>
      <c r="C149" s="22" t="str">
        <f ca="1">IFERROR(__xludf.DUMMYFUNCTION("""COMPUTED_VALUE"""),"https://www.instagram.com/alerta_cupons")</f>
        <v>https://www.instagram.com/alerta_cupons</v>
      </c>
      <c r="D149" s="19">
        <f ca="1">IFERROR(__xludf.DUMMYFUNCTION("""COMPUTED_VALUE"""),8000)</f>
        <v>8000</v>
      </c>
      <c r="E149" s="22" t="str">
        <f ca="1">IFERROR(__xludf.DUMMYFUNCTION("""COMPUTED_VALUE"""),"https://www.tiktok.com/@alertadecupons")</f>
        <v>https://www.tiktok.com/@alertadecupons</v>
      </c>
      <c r="F149" s="19">
        <f ca="1">IFERROR(__xludf.DUMMYFUNCTION("""COMPUTED_VALUE"""),20000)</f>
        <v>20000</v>
      </c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>
      <c r="A150" s="21">
        <f ca="1">IFERROR(__xludf.DUMMYFUNCTION("""COMPUTED_VALUE"""),615723245)</f>
        <v>615723245</v>
      </c>
      <c r="B150" s="19" t="str">
        <f ca="1">IFERROR(__xludf.DUMMYFUNCTION("""COMPUTED_VALUE"""),"memorycard8mb")</f>
        <v>memorycard8mb</v>
      </c>
      <c r="C150" s="22" t="str">
        <f ca="1">IFERROR(__xludf.DUMMYFUNCTION("""COMPUTED_VALUE"""),"https://www.instagram.com/mc8mb/")</f>
        <v>https://www.instagram.com/mc8mb/</v>
      </c>
      <c r="D150" s="19">
        <f ca="1">IFERROR(__xludf.DUMMYFUNCTION("""COMPUTED_VALUE"""),1787)</f>
        <v>1787</v>
      </c>
      <c r="E150" s="22" t="str">
        <f ca="1">IFERROR(__xludf.DUMMYFUNCTION("""COMPUTED_VALUE"""),"https://www.instagram.com/mc8mb/")</f>
        <v>https://www.instagram.com/mc8mb/</v>
      </c>
      <c r="F150" s="19">
        <f ca="1">IFERROR(__xludf.DUMMYFUNCTION("""COMPUTED_VALUE"""),0)</f>
        <v>0</v>
      </c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>
      <c r="A151" s="21">
        <f ca="1">IFERROR(__xludf.DUMMYFUNCTION("""COMPUTED_VALUE"""),1485217446)</f>
        <v>1485217446</v>
      </c>
      <c r="B151" s="19" t="str">
        <f ca="1">IFERROR(__xludf.DUMMYFUNCTION("""COMPUTED_VALUE"""),"promoon")</f>
        <v>promoon</v>
      </c>
      <c r="C151" s="22" t="str">
        <f ca="1">IFERROR(__xludf.DUMMYFUNCTION("""COMPUTED_VALUE"""),"https://www.instagram.com/promoonpromos/")</f>
        <v>https://www.instagram.com/promoonpromos/</v>
      </c>
      <c r="D151" s="19">
        <f ca="1">IFERROR(__xludf.DUMMYFUNCTION("""COMPUTED_VALUE"""),14800)</f>
        <v>14800</v>
      </c>
      <c r="E151" s="22" t="str">
        <f ca="1">IFERROR(__xludf.DUMMYFUNCTION("""COMPUTED_VALUE"""),"https://www.tiktok.com/@promoonpromos")</f>
        <v>https://www.tiktok.com/@promoonpromos</v>
      </c>
      <c r="F151" s="19">
        <f ca="1">IFERROR(__xludf.DUMMYFUNCTION("""COMPUTED_VALUE"""),12)</f>
        <v>12</v>
      </c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>
      <c r="A152" s="21">
        <f ca="1">IFERROR(__xludf.DUMMYFUNCTION("""COMPUTED_VALUE"""),1468107040)</f>
        <v>1468107040</v>
      </c>
      <c r="B152" s="19" t="str">
        <f ca="1">IFERROR(__xludf.DUMMYFUNCTION("""COMPUTED_VALUE"""),"gafanhotoapp")</f>
        <v>gafanhotoapp</v>
      </c>
      <c r="C152" s="22" t="str">
        <f ca="1">IFERROR(__xludf.DUMMYFUNCTION("""COMPUTED_VALUE"""),"instagram.com")</f>
        <v>instagram.com</v>
      </c>
      <c r="D152" s="19">
        <f ca="1">IFERROR(__xludf.DUMMYFUNCTION("""COMPUTED_VALUE"""),0)</f>
        <v>0</v>
      </c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>
      <c r="A153" s="21">
        <f ca="1">IFERROR(__xludf.DUMMYFUNCTION("""COMPUTED_VALUE"""),2018286552)</f>
        <v>2018286552</v>
      </c>
      <c r="B153" s="19" t="str">
        <f ca="1">IFERROR(__xludf.DUMMYFUNCTION("""COMPUTED_VALUE"""),"lr20241002154517")</f>
        <v>lr20241002154517</v>
      </c>
      <c r="C153" s="22" t="str">
        <f ca="1">IFERROR(__xludf.DUMMYFUNCTION("""COMPUTED_VALUE"""),"https://www.instagram.com/rosleonoficial")</f>
        <v>https://www.instagram.com/rosleonoficial</v>
      </c>
      <c r="D153" s="19">
        <f ca="1">IFERROR(__xludf.DUMMYFUNCTION("""COMPUTED_VALUE"""),18600)</f>
        <v>18600</v>
      </c>
      <c r="E153" s="22" t="str">
        <f ca="1">IFERROR(__xludf.DUMMYFUNCTION("""COMPUTED_VALUE"""),"https://www.tiktok.com/@rosleonoficial")</f>
        <v>https://www.tiktok.com/@rosleonoficial</v>
      </c>
      <c r="F153" s="19">
        <f ca="1">IFERROR(__xludf.DUMMYFUNCTION("""COMPUTED_VALUE"""),9200)</f>
        <v>9200</v>
      </c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>
      <c r="A154" s="21">
        <f ca="1">IFERROR(__xludf.DUMMYFUNCTION("""COMPUTED_VALUE"""),1539409111)</f>
        <v>1539409111</v>
      </c>
      <c r="B154" s="19" t="str">
        <f ca="1">IFERROR(__xludf.DUMMYFUNCTION("""COMPUTED_VALUE"""),"promopcs")</f>
        <v>promopcs</v>
      </c>
      <c r="C154" s="22" t="str">
        <f ca="1">IFERROR(__xludf.DUMMYFUNCTION("""COMPUTED_VALUE"""),"https://www.instagram.com/bruxopromos")</f>
        <v>https://www.instagram.com/bruxopromos</v>
      </c>
      <c r="D154" s="19">
        <f ca="1">IFERROR(__xludf.DUMMYFUNCTION("""COMPUTED_VALUE"""),524)</f>
        <v>524</v>
      </c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>
      <c r="A155" s="21">
        <f ca="1">IFERROR(__xludf.DUMMYFUNCTION("""COMPUTED_VALUE"""),224396924)</f>
        <v>224396924</v>
      </c>
      <c r="B155" s="19" t="str">
        <f ca="1">IFERROR(__xludf.DUMMYFUNCTION("""COMPUTED_VALUE"""),"promo10")</f>
        <v>promo10</v>
      </c>
      <c r="C155" s="19" t="str">
        <f ca="1">IFERROR(__xludf.DUMMYFUNCTION("""COMPUTED_VALUE"""),"")</f>
        <v/>
      </c>
      <c r="D155" s="19" t="str">
        <f ca="1">IFERROR(__xludf.DUMMYFUNCTION("""COMPUTED_VALUE"""),"")</f>
        <v/>
      </c>
      <c r="E155" s="19" t="str">
        <f ca="1">IFERROR(__xludf.DUMMYFUNCTION("""COMPUTED_VALUE"""),"")</f>
        <v/>
      </c>
      <c r="F155" s="19" t="str">
        <f ca="1">IFERROR(__xludf.DUMMYFUNCTION("""COMPUTED_VALUE"""),"")</f>
        <v/>
      </c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>
      <c r="A156" s="21">
        <f ca="1">IFERROR(__xludf.DUMMYFUNCTION("""COMPUTED_VALUE"""),246606087)</f>
        <v>246606087</v>
      </c>
      <c r="B156" s="19" t="str">
        <f ca="1">IFERROR(__xludf.DUMMYFUNCTION("""COMPUTED_VALUE"""),"donnadescontos")</f>
        <v>donnadescontos</v>
      </c>
      <c r="C156" s="22" t="str">
        <f ca="1">IFERROR(__xludf.DUMMYFUNCTION("""COMPUTED_VALUE"""),"https://www.instagram.com/donnadescontos/")</f>
        <v>https://www.instagram.com/donnadescontos/</v>
      </c>
      <c r="D156" s="19">
        <f ca="1">IFERROR(__xludf.DUMMYFUNCTION("""COMPUTED_VALUE"""),70000)</f>
        <v>70000</v>
      </c>
      <c r="E156" s="22" t="str">
        <f ca="1">IFERROR(__xludf.DUMMYFUNCTION("""COMPUTED_VALUE"""),"https://www.tiktok.com/@donnadescontos")</f>
        <v>https://www.tiktok.com/@donnadescontos</v>
      </c>
      <c r="F156" s="19">
        <f ca="1">IFERROR(__xludf.DUMMYFUNCTION("""COMPUTED_VALUE"""),8000)</f>
        <v>8000</v>
      </c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>
      <c r="A157" s="21">
        <f ca="1">IFERROR(__xludf.DUMMYFUNCTION("""COMPUTED_VALUE"""),1047715590)</f>
        <v>1047715590</v>
      </c>
      <c r="B157" s="19" t="str">
        <f ca="1">IFERROR(__xludf.DUMMYFUNCTION("""COMPUTED_VALUE"""),"alphafitbrasil")</f>
        <v>alphafitbrasil</v>
      </c>
      <c r="C157" s="22" t="str">
        <f ca="1">IFERROR(__xludf.DUMMYFUNCTION("""COMPUTED_VALUE"""),"https://www.instagram.com/alphafitnessbrazil?igsh=MW4zZ2h6YjBnanJqOA==")</f>
        <v>https://www.instagram.com/alphafitnessbrazil?igsh=MW4zZ2h6YjBnanJqOA==</v>
      </c>
      <c r="D157" s="19">
        <f ca="1">IFERROR(__xludf.DUMMYFUNCTION("""COMPUTED_VALUE"""),886)</f>
        <v>886</v>
      </c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>
      <c r="A158" s="21">
        <f ca="1">IFERROR(__xludf.DUMMYFUNCTION("""COMPUTED_VALUE"""),1422595957)</f>
        <v>1422595957</v>
      </c>
      <c r="B158" s="19" t="str">
        <f ca="1">IFERROR(__xludf.DUMMYFUNCTION("""COMPUTED_VALUE"""),"boletandoofertas")</f>
        <v>boletandoofertas</v>
      </c>
      <c r="C158" s="22" t="str">
        <f ca="1">IFERROR(__xludf.DUMMYFUNCTION("""COMPUTED_VALUE"""),"https://www.instagram.com/diogenes_carneiroo?igsh=bWh5MGk5YW0zNjQ5")</f>
        <v>https://www.instagram.com/diogenes_carneiroo?igsh=bWh5MGk5YW0zNjQ5</v>
      </c>
      <c r="D158" s="19">
        <f ca="1">IFERROR(__xludf.DUMMYFUNCTION("""COMPUTED_VALUE"""),800)</f>
        <v>800</v>
      </c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>
      <c r="A159" s="21">
        <f ca="1">IFERROR(__xludf.DUMMYFUNCTION("""COMPUTED_VALUE"""),1438016577)</f>
        <v>1438016577</v>
      </c>
      <c r="B159" s="19" t="str">
        <f ca="1">IFERROR(__xludf.DUMMYFUNCTION("""COMPUTED_VALUE"""),"promocoesdahoraofc")</f>
        <v>promocoesdahoraofc</v>
      </c>
      <c r="C159" s="22" t="str">
        <f ca="1">IFERROR(__xludf.DUMMYFUNCTION("""COMPUTED_VALUE"""),"https://www.instagram.com/promocoesdahora.ofc/")</f>
        <v>https://www.instagram.com/promocoesdahora.ofc/</v>
      </c>
      <c r="D159" s="19">
        <f ca="1">IFERROR(__xludf.DUMMYFUNCTION("""COMPUTED_VALUE"""),5175)</f>
        <v>5175</v>
      </c>
      <c r="E159" s="22" t="str">
        <f ca="1">IFERROR(__xludf.DUMMYFUNCTION("""COMPUTED_VALUE"""),"https://www.tiktok.com/@promocoesdahoraoficial")</f>
        <v>https://www.tiktok.com/@promocoesdahoraoficial</v>
      </c>
      <c r="F159" s="19">
        <f ca="1">IFERROR(__xludf.DUMMYFUNCTION("""COMPUTED_VALUE"""),6203)</f>
        <v>6203</v>
      </c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>
      <c r="A160" s="21">
        <f ca="1">IFERROR(__xludf.DUMMYFUNCTION("""COMPUTED_VALUE"""),202884905)</f>
        <v>202884905</v>
      </c>
      <c r="B160" s="19" t="str">
        <f ca="1">IFERROR(__xludf.DUMMYFUNCTION("""COMPUTED_VALUE"""),"academiaesporteshop")</f>
        <v>academiaesporteshop</v>
      </c>
      <c r="C160" s="19" t="str">
        <f ca="1">IFERROR(__xludf.DUMMYFUNCTION("""COMPUTED_VALUE"""),"@academia.esporteshop")</f>
        <v>@academia.esporteshop</v>
      </c>
      <c r="D160" s="19">
        <f ca="1">IFERROR(__xludf.DUMMYFUNCTION("""COMPUTED_VALUE"""),9000)</f>
        <v>9000</v>
      </c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>
      <c r="A161" s="21">
        <f ca="1">IFERROR(__xludf.DUMMYFUNCTION("""COMPUTED_VALUE"""),1563697858)</f>
        <v>1563697858</v>
      </c>
      <c r="B161" s="19" t="str">
        <f ca="1">IFERROR(__xludf.DUMMYFUNCTION("""COMPUTED_VALUE"""),"carvalhogabriel20231123230205")</f>
        <v>carvalhogabriel20231123230205</v>
      </c>
      <c r="C161" s="19" t="str">
        <f ca="1">IFERROR(__xludf.DUMMYFUNCTION("""COMPUTED_VALUE"""),"")</f>
        <v/>
      </c>
      <c r="D161" s="19" t="str">
        <f ca="1">IFERROR(__xludf.DUMMYFUNCTION("""COMPUTED_VALUE"""),"")</f>
        <v/>
      </c>
      <c r="E161" s="19" t="str">
        <f ca="1">IFERROR(__xludf.DUMMYFUNCTION("""COMPUTED_VALUE"""),"")</f>
        <v/>
      </c>
      <c r="F161" s="19" t="str">
        <f ca="1">IFERROR(__xludf.DUMMYFUNCTION("""COMPUTED_VALUE"""),"")</f>
        <v/>
      </c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>
      <c r="A162" s="21">
        <f ca="1">IFERROR(__xludf.DUMMYFUNCTION("""COMPUTED_VALUE"""),2417416990)</f>
        <v>2417416990</v>
      </c>
      <c r="B162" s="19" t="str">
        <f ca="1">IFERROR(__xludf.DUMMYFUNCTION("""COMPUTED_VALUE"""),"passageirodeprimeira")</f>
        <v>passageirodeprimeira</v>
      </c>
      <c r="C162" s="22" t="str">
        <f ca="1">IFERROR(__xludf.DUMMYFUNCTION("""COMPUTED_VALUE"""),"https://www.instagram.com/passageirodeprimeira?igsh=MWg2bjdxNGxndDFqYw==")</f>
        <v>https://www.instagram.com/passageirodeprimeira?igsh=MWg2bjdxNGxndDFqYw==</v>
      </c>
      <c r="D162" s="19">
        <f ca="1">IFERROR(__xludf.DUMMYFUNCTION("""COMPUTED_VALUE"""),543000)</f>
        <v>543000</v>
      </c>
      <c r="E162" s="22" t="str">
        <f ca="1">IFERROR(__xludf.DUMMYFUNCTION("""COMPUTED_VALUE"""),"https://www.tiktok.com/@passageirode1a?_t=ZM-8z2mH7UvXPk&amp;_r=1")</f>
        <v>https://www.tiktok.com/@passageirode1a?_t=ZM-8z2mH7UvXPk&amp;_r=1</v>
      </c>
      <c r="F162" s="19">
        <f ca="1">IFERROR(__xludf.DUMMYFUNCTION("""COMPUTED_VALUE"""),20000)</f>
        <v>20000</v>
      </c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>
      <c r="A163" s="21">
        <f ca="1">IFERROR(__xludf.DUMMYFUNCTION("""COMPUTED_VALUE"""),690775790)</f>
        <v>690775790</v>
      </c>
      <c r="B163" s="19" t="str">
        <f ca="1">IFERROR(__xludf.DUMMYFUNCTION("""COMPUTED_VALUE"""),"guicasainteligente")</f>
        <v>guicasainteligente</v>
      </c>
      <c r="C163" s="22" t="str">
        <f ca="1">IFERROR(__xludf.DUMMYFUNCTION("""COMPUTED_VALUE"""),"https://www.instagram.com/guicasainteligente/?hl=pt")</f>
        <v>https://www.instagram.com/guicasainteligente/?hl=pt</v>
      </c>
      <c r="D163" s="19">
        <f ca="1">IFERROR(__xludf.DUMMYFUNCTION("""COMPUTED_VALUE"""),24100)</f>
        <v>24100</v>
      </c>
      <c r="E163" s="22" t="str">
        <f ca="1">IFERROR(__xludf.DUMMYFUNCTION("""COMPUTED_VALUE"""),"https://www.tiktok.com/@guicasainteligente?_t=ZM-8xg2kGUQD60&amp;_r=1")</f>
        <v>https://www.tiktok.com/@guicasainteligente?_t=ZM-8xg2kGUQD60&amp;_r=1</v>
      </c>
      <c r="F163" s="19">
        <f ca="1">IFERROR(__xludf.DUMMYFUNCTION("""COMPUTED_VALUE"""),12800)</f>
        <v>12800</v>
      </c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>
      <c r="A164" s="21">
        <f ca="1">IFERROR(__xludf.DUMMYFUNCTION("""COMPUTED_VALUE"""),12578674)</f>
        <v>12578674</v>
      </c>
      <c r="B164" s="19" t="str">
        <f ca="1">IFERROR(__xludf.DUMMYFUNCTION("""COMPUTED_VALUE"""),"ale2015moreira")</f>
        <v>ale2015moreira</v>
      </c>
      <c r="C164" s="22" t="str">
        <f ca="1">IFERROR(__xludf.DUMMYFUNCTION("""COMPUTED_VALUE"""),"https://www.instagram.com/achei_top_demais/")</f>
        <v>https://www.instagram.com/achei_top_demais/</v>
      </c>
      <c r="D164" s="19">
        <f ca="1">IFERROR(__xludf.DUMMYFUNCTION("""COMPUTED_VALUE"""),500)</f>
        <v>500</v>
      </c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>
      <c r="A165" s="21">
        <f ca="1">IFERROR(__xludf.DUMMYFUNCTION("""COMPUTED_VALUE"""),1951744105)</f>
        <v>1951744105</v>
      </c>
      <c r="B165" s="19" t="str">
        <f ca="1">IFERROR(__xludf.DUMMYFUNCTION("""COMPUTED_VALUE"""),"poison")</f>
        <v>poison</v>
      </c>
      <c r="C165" s="19" t="str">
        <f ca="1">IFERROR(__xludf.DUMMYFUNCTION("""COMPUTED_VALUE"""),"")</f>
        <v/>
      </c>
      <c r="D165" s="19" t="str">
        <f ca="1">IFERROR(__xludf.DUMMYFUNCTION("""COMPUTED_VALUE"""),"")</f>
        <v/>
      </c>
      <c r="E165" s="19" t="str">
        <f ca="1">IFERROR(__xludf.DUMMYFUNCTION("""COMPUTED_VALUE"""),"")</f>
        <v/>
      </c>
      <c r="F165" s="19" t="str">
        <f ca="1">IFERROR(__xludf.DUMMYFUNCTION("""COMPUTED_VALUE"""),"")</f>
        <v/>
      </c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>
      <c r="A166" s="21">
        <f ca="1">IFERROR(__xludf.DUMMYFUNCTION("""COMPUTED_VALUE"""),213618896)</f>
        <v>213618896</v>
      </c>
      <c r="B166" s="19" t="str">
        <f ca="1">IFERROR(__xludf.DUMMYFUNCTION("""COMPUTED_VALUE"""),"aqle6195875")</f>
        <v>aqle6195875</v>
      </c>
      <c r="C166" s="19" t="str">
        <f ca="1">IFERROR(__xludf.DUMMYFUNCTION("""COMPUTED_VALUE"""),"")</f>
        <v/>
      </c>
      <c r="D166" s="19" t="str">
        <f ca="1">IFERROR(__xludf.DUMMYFUNCTION("""COMPUTED_VALUE"""),"")</f>
        <v/>
      </c>
      <c r="E166" s="19" t="str">
        <f ca="1">IFERROR(__xludf.DUMMYFUNCTION("""COMPUTED_VALUE"""),"")</f>
        <v/>
      </c>
      <c r="F166" s="19" t="str">
        <f ca="1">IFERROR(__xludf.DUMMYFUNCTION("""COMPUTED_VALUE"""),"")</f>
        <v/>
      </c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>
      <c r="A167" s="21">
        <f ca="1">IFERROR(__xludf.DUMMYFUNCTION("""COMPUTED_VALUE"""),340577258)</f>
        <v>340577258</v>
      </c>
      <c r="B167" s="19" t="str">
        <f ca="1">IFERROR(__xludf.DUMMYFUNCTION("""COMPUTED_VALUE"""),"sabrinaclara89")</f>
        <v>sabrinaclara89</v>
      </c>
      <c r="C167" s="22" t="str">
        <f ca="1">IFERROR(__xludf.DUMMYFUNCTION("""COMPUTED_VALUE"""),"https://www.instagram.com/promosday_tec?igsh=MW01aWsycG5ka3NrZA==")</f>
        <v>https://www.instagram.com/promosday_tec?igsh=MW01aWsycG5ka3NrZA==</v>
      </c>
      <c r="D167" s="19">
        <f ca="1">IFERROR(__xludf.DUMMYFUNCTION("""COMPUTED_VALUE"""),4364)</f>
        <v>4364</v>
      </c>
      <c r="E167" s="22" t="str">
        <f ca="1">IFERROR(__xludf.DUMMYFUNCTION("""COMPUTED_VALUE"""),"https://www.tiktok.com/@day.promos?_t=ZM-8yzLgWz66UA&amp;_r=1")</f>
        <v>https://www.tiktok.com/@day.promos?_t=ZM-8yzLgWz66UA&amp;_r=1</v>
      </c>
      <c r="F167" s="19">
        <f ca="1">IFERROR(__xludf.DUMMYFUNCTION("""COMPUTED_VALUE"""),11400)</f>
        <v>11400</v>
      </c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>
      <c r="A168" s="21">
        <f ca="1">IFERROR(__xludf.DUMMYFUNCTION("""COMPUTED_VALUE"""),103699751)</f>
        <v>103699751</v>
      </c>
      <c r="B168" s="19" t="str">
        <f ca="1">IFERROR(__xludf.DUMMYFUNCTION("""COMPUTED_VALUE"""),"rogenevinicius")</f>
        <v>rogenevinicius</v>
      </c>
      <c r="C168" s="22" t="str">
        <f ca="1">IFERROR(__xludf.DUMMYFUNCTION("""COMPUTED_VALUE"""),"https://www.instagram.com/formulaidealfit/profilecard/?igsh=b3JibGx2aGVzMDc=")</f>
        <v>https://www.instagram.com/formulaidealfit/profilecard/?igsh=b3JibGx2aGVzMDc=</v>
      </c>
      <c r="D168" s="19">
        <f ca="1">IFERROR(__xludf.DUMMYFUNCTION("""COMPUTED_VALUE"""),11000)</f>
        <v>11000</v>
      </c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>
      <c r="A169" s="21">
        <f ca="1">IFERROR(__xludf.DUMMYFUNCTION("""COMPUTED_VALUE"""),1230973601)</f>
        <v>1230973601</v>
      </c>
      <c r="B169" s="19" t="str">
        <f ca="1">IFERROR(__xludf.DUMMYFUNCTION("""COMPUTED_VALUE"""),"maxdicas")</f>
        <v>maxdicas</v>
      </c>
      <c r="C169" s="22" t="str">
        <f ca="1">IFERROR(__xludf.DUMMYFUNCTION("""COMPUTED_VALUE"""),"https://www.instagram.com/canalmaxdicas/")</f>
        <v>https://www.instagram.com/canalmaxdicas/</v>
      </c>
      <c r="D169" s="19">
        <f ca="1">IFERROR(__xludf.DUMMYFUNCTION("""COMPUTED_VALUE"""),50000)</f>
        <v>50000</v>
      </c>
      <c r="E169" s="22" t="str">
        <f ca="1">IFERROR(__xludf.DUMMYFUNCTION("""COMPUTED_VALUE"""),"https://tiktok.com/@maxdicas")</f>
        <v>https://tiktok.com/@maxdicas</v>
      </c>
      <c r="F169" s="19">
        <f ca="1">IFERROR(__xludf.DUMMYFUNCTION("""COMPUTED_VALUE"""),130000)</f>
        <v>130000</v>
      </c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>
      <c r="A170" s="21">
        <f ca="1">IFERROR(__xludf.DUMMYFUNCTION("""COMPUTED_VALUE"""),161660180)</f>
        <v>161660180</v>
      </c>
      <c r="B170" s="19" t="str">
        <f ca="1">IFERROR(__xludf.DUMMYFUNCTION("""COMPUTED_VALUE"""),"oqcomprei")</f>
        <v>oqcomprei</v>
      </c>
      <c r="C170" s="22" t="str">
        <f ca="1">IFERROR(__xludf.DUMMYFUNCTION("""COMPUTED_VALUE"""),"https://www.instagram.com/oqcomprei/")</f>
        <v>https://www.instagram.com/oqcomprei/</v>
      </c>
      <c r="D170" s="19">
        <f ca="1">IFERROR(__xludf.DUMMYFUNCTION("""COMPUTED_VALUE"""),250400)</f>
        <v>250400</v>
      </c>
      <c r="E170" s="22" t="str">
        <f ca="1">IFERROR(__xludf.DUMMYFUNCTION("""COMPUTED_VALUE"""),"https://tiktok.com/@oqcomprei")</f>
        <v>https://tiktok.com/@oqcomprei</v>
      </c>
      <c r="F170" s="19">
        <f ca="1">IFERROR(__xludf.DUMMYFUNCTION("""COMPUTED_VALUE"""),354300)</f>
        <v>354300</v>
      </c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>
      <c r="A171" s="21">
        <f ca="1">IFERROR(__xludf.DUMMYFUNCTION("""COMPUTED_VALUE"""),2248551244)</f>
        <v>2248551244</v>
      </c>
      <c r="B171" s="19" t="str">
        <f ca="1">IFERROR(__xludf.DUMMYFUNCTION("""COMPUTED_VALUE"""),"eydyzinhamuquirana")</f>
        <v>eydyzinhamuquirana</v>
      </c>
      <c r="C171" s="22" t="str">
        <f ca="1">IFERROR(__xludf.DUMMYFUNCTION("""COMPUTED_VALUE"""),"https://www.instagram.com/casalperdidinho?igsh=eWhsZ3BjenNzeHBr&amp;utm_source=qr")</f>
        <v>https://www.instagram.com/casalperdidinho?igsh=eWhsZ3BjenNzeHBr&amp;utm_source=qr</v>
      </c>
      <c r="D171" s="19">
        <f ca="1">IFERROR(__xludf.DUMMYFUNCTION("""COMPUTED_VALUE"""),4000000)</f>
        <v>4000000</v>
      </c>
      <c r="E171" s="22" t="str">
        <f ca="1">IFERROR(__xludf.DUMMYFUNCTION("""COMPUTED_VALUE"""),"https://www.tiktok.com/@casalperdidinho?_t=ZM-8xwbnJllBri&amp;_r=1")</f>
        <v>https://www.tiktok.com/@casalperdidinho?_t=ZM-8xwbnJllBri&amp;_r=1</v>
      </c>
      <c r="F171" s="19">
        <f ca="1">IFERROR(__xludf.DUMMYFUNCTION("""COMPUTED_VALUE"""),1300000)</f>
        <v>1300000</v>
      </c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>
      <c r="A172" s="21">
        <f ca="1">IFERROR(__xludf.DUMMYFUNCTION("""COMPUTED_VALUE"""),33840664)</f>
        <v>33840664</v>
      </c>
      <c r="B172" s="19" t="str">
        <f ca="1">IFERROR(__xludf.DUMMYFUNCTION("""COMPUTED_VALUE"""),"gatry")</f>
        <v>gatry</v>
      </c>
      <c r="C172" s="19" t="str">
        <f ca="1">IFERROR(__xludf.DUMMYFUNCTION("""COMPUTED_VALUE"""),"")</f>
        <v/>
      </c>
      <c r="D172" s="19" t="str">
        <f ca="1">IFERROR(__xludf.DUMMYFUNCTION("""COMPUTED_VALUE"""),"")</f>
        <v/>
      </c>
      <c r="E172" s="19" t="str">
        <f ca="1">IFERROR(__xludf.DUMMYFUNCTION("""COMPUTED_VALUE"""),"")</f>
        <v/>
      </c>
      <c r="F172" s="19" t="str">
        <f ca="1">IFERROR(__xludf.DUMMYFUNCTION("""COMPUTED_VALUE"""),"")</f>
        <v/>
      </c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>
      <c r="A173" s="21">
        <f ca="1">IFERROR(__xludf.DUMMYFUNCTION("""COMPUTED_VALUE"""),147294155)</f>
        <v>147294155</v>
      </c>
      <c r="B173" s="19" t="str">
        <f ca="1">IFERROR(__xludf.DUMMYFUNCTION("""COMPUTED_VALUE"""),"leandroimports")</f>
        <v>leandroimports</v>
      </c>
      <c r="C173" s="22" t="str">
        <f ca="1">IFERROR(__xludf.DUMMYFUNCTION("""COMPUTED_VALUE"""),"https://www.instagram.com/leandro_sejaseupatrao")</f>
        <v>https://www.instagram.com/leandro_sejaseupatrao</v>
      </c>
      <c r="D173" s="19">
        <f ca="1">IFERROR(__xludf.DUMMYFUNCTION("""COMPUTED_VALUE"""),9000)</f>
        <v>9000</v>
      </c>
      <c r="E173" s="22" t="str">
        <f ca="1">IFERROR(__xludf.DUMMYFUNCTION("""COMPUTED_VALUE"""),"https://www.tiktok.com/@leandro_indica")</f>
        <v>https://www.tiktok.com/@leandro_indica</v>
      </c>
      <c r="F173" s="19">
        <f ca="1">IFERROR(__xludf.DUMMYFUNCTION("""COMPUTED_VALUE"""),750)</f>
        <v>750</v>
      </c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>
      <c r="A174" s="21">
        <f ca="1">IFERROR(__xludf.DUMMYFUNCTION("""COMPUTED_VALUE"""),196205822)</f>
        <v>196205822</v>
      </c>
      <c r="B174" s="19" t="str">
        <f ca="1">IFERROR(__xludf.DUMMYFUNCTION("""COMPUTED_VALUE"""),"driisantiago")</f>
        <v>driisantiago</v>
      </c>
      <c r="C174" s="22" t="str">
        <f ca="1">IFERROR(__xludf.DUMMYFUNCTION("""COMPUTED_VALUE"""),"https://www.instagram.com/achadinhodadri")</f>
        <v>https://www.instagram.com/achadinhodadri</v>
      </c>
      <c r="D174" s="19">
        <f ca="1">IFERROR(__xludf.DUMMYFUNCTION("""COMPUTED_VALUE"""),19000)</f>
        <v>19000</v>
      </c>
      <c r="E174" s="22" t="str">
        <f ca="1">IFERROR(__xludf.DUMMYFUNCTION("""COMPUTED_VALUE"""),"https://www.tiktok.com/@achadinhodadri")</f>
        <v>https://www.tiktok.com/@achadinhodadri</v>
      </c>
      <c r="F174" s="19" t="str">
        <f ca="1">IFERROR(__xludf.DUMMYFUNCTION("""COMPUTED_VALUE"""),"654.00")</f>
        <v>654.00</v>
      </c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>
      <c r="A175" s="21">
        <f ca="1">IFERROR(__xludf.DUMMYFUNCTION("""COMPUTED_VALUE"""),297819181)</f>
        <v>297819181</v>
      </c>
      <c r="B175" s="19" t="str">
        <f ca="1">IFERROR(__xludf.DUMMYFUNCTION("""COMPUTED_VALUE"""),"promocoes_da_juh_")</f>
        <v>promocoes_da_juh_</v>
      </c>
      <c r="C175" s="22" t="str">
        <f ca="1">IFERROR(__xludf.DUMMYFUNCTION("""COMPUTED_VALUE"""),"https://www.instagram.com/promocoes_da_juh_?igsh=MWpoNG03dnl3MjR4dw%3D%3D&amp;utm_source=qr")</f>
        <v>https://www.instagram.com/promocoes_da_juh_?igsh=MWpoNG03dnl3MjR4dw%3D%3D&amp;utm_source=qr</v>
      </c>
      <c r="D175" s="19">
        <f ca="1">IFERROR(__xludf.DUMMYFUNCTION("""COMPUTED_VALUE"""),17)</f>
        <v>17</v>
      </c>
      <c r="E175" s="22" t="str">
        <f ca="1">IFERROR(__xludf.DUMMYFUNCTION("""COMPUTED_VALUE"""),"https://www.tiktok.com/@jhuenzooo?_t=ZM-8yzbeudguhR&amp;_r=1")</f>
        <v>https://www.tiktok.com/@jhuenzooo?_t=ZM-8yzbeudguhR&amp;_r=1</v>
      </c>
      <c r="F175" s="19">
        <f ca="1">IFERROR(__xludf.DUMMYFUNCTION("""COMPUTED_VALUE"""),2)</f>
        <v>2</v>
      </c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>
      <c r="A176" s="21">
        <f ca="1">IFERROR(__xludf.DUMMYFUNCTION("""COMPUTED_VALUE"""),1282155962)</f>
        <v>1282155962</v>
      </c>
      <c r="B176" s="19" t="str">
        <f ca="1">IFERROR(__xludf.DUMMYFUNCTION("""COMPUTED_VALUE"""),"adivulgadora")</f>
        <v>adivulgadora</v>
      </c>
      <c r="C176" s="22" t="str">
        <f ca="1">IFERROR(__xludf.DUMMYFUNCTION("""COMPUTED_VALUE"""),"https://www.instagram.com/adivulgadora/")</f>
        <v>https://www.instagram.com/adivulgadora/</v>
      </c>
      <c r="D176" s="19">
        <f ca="1">IFERROR(__xludf.DUMMYFUNCTION("""COMPUTED_VALUE"""),487000)</f>
        <v>487000</v>
      </c>
      <c r="E176" s="22" t="str">
        <f ca="1">IFERROR(__xludf.DUMMYFUNCTION("""COMPUTED_VALUE"""),"https://www.tiktok.com/@adivulgadoraa?_t=ZM-8xhlRWr8uGe&amp;_r=1")</f>
        <v>https://www.tiktok.com/@adivulgadoraa?_t=ZM-8xhlRWr8uGe&amp;_r=1</v>
      </c>
      <c r="F176" s="19">
        <f ca="1">IFERROR(__xludf.DUMMYFUNCTION("""COMPUTED_VALUE"""),47000)</f>
        <v>47000</v>
      </c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>
      <c r="A177" s="21">
        <f ca="1">IFERROR(__xludf.DUMMYFUNCTION("""COMPUTED_VALUE"""),1441090684)</f>
        <v>1441090684</v>
      </c>
      <c r="B177" s="19" t="str">
        <f ca="1">IFERROR(__xludf.DUMMYFUNCTION("""COMPUTED_VALUE"""),"xaviertech")</f>
        <v>xaviertech</v>
      </c>
      <c r="C177" s="22" t="str">
        <f ca="1">IFERROR(__xludf.DUMMYFUNCTION("""COMPUTED_VALUE"""),"https://www.instagram.com/xaviertech.yt?igsh=aGowbHl1cjc4bWR3")</f>
        <v>https://www.instagram.com/xaviertech.yt?igsh=aGowbHl1cjc4bWR3</v>
      </c>
      <c r="D177" s="19">
        <f ca="1">IFERROR(__xludf.DUMMYFUNCTION("""COMPUTED_VALUE"""),2840)</f>
        <v>2840</v>
      </c>
      <c r="E177" s="22" t="str">
        <f ca="1">IFERROR(__xludf.DUMMYFUNCTION("""COMPUTED_VALUE"""),"https://www.tiktok.com/@xaviertechinformatica?_t=ZM-8xhjlry29VG&amp;_r=1")</f>
        <v>https://www.tiktok.com/@xaviertechinformatica?_t=ZM-8xhjlry29VG&amp;_r=1</v>
      </c>
      <c r="F177" s="19">
        <f ca="1">IFERROR(__xludf.DUMMYFUNCTION("""COMPUTED_VALUE"""),2337)</f>
        <v>2337</v>
      </c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>
      <c r="A178" s="21">
        <f ca="1">IFERROR(__xludf.DUMMYFUNCTION("""COMPUTED_VALUE"""),2357360325)</f>
        <v>2357360325</v>
      </c>
      <c r="B178" s="19" t="str">
        <f ca="1">IFERROR(__xludf.DUMMYFUNCTION("""COMPUTED_VALUE"""),"guru")</f>
        <v>guru</v>
      </c>
      <c r="C178" s="22" t="str">
        <f ca="1">IFERROR(__xludf.DUMMYFUNCTION("""COMPUTED_VALUE"""),"https://www.instagram.com/ogurudaspromos/")</f>
        <v>https://www.instagram.com/ogurudaspromos/</v>
      </c>
      <c r="D178" s="19">
        <f ca="1">IFERROR(__xludf.DUMMYFUNCTION("""COMPUTED_VALUE"""),2400)</f>
        <v>2400</v>
      </c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>
      <c r="A179" s="21">
        <f ca="1">IFERROR(__xludf.DUMMYFUNCTION("""COMPUTED_VALUE"""),553485627)</f>
        <v>553485627</v>
      </c>
      <c r="B179" s="19" t="str">
        <f ca="1">IFERROR(__xludf.DUMMYFUNCTION("""COMPUTED_VALUE"""),"nasa5361421")</f>
        <v>nasa5361421</v>
      </c>
      <c r="C179" s="22" t="str">
        <f ca="1">IFERROR(__xludf.DUMMYFUNCTION("""COMPUTED_VALUE"""),"https://www.instagram.com/matheuscoutomga?igsh=Mnk1cG5qb3Jsd25n&amp;utm_source=qr")</f>
        <v>https://www.instagram.com/matheuscoutomga?igsh=Mnk1cG5qb3Jsd25n&amp;utm_source=qr</v>
      </c>
      <c r="D179" s="19">
        <f ca="1">IFERROR(__xludf.DUMMYFUNCTION("""COMPUTED_VALUE"""),2000)</f>
        <v>2000</v>
      </c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>
      <c r="A180" s="21">
        <f ca="1">IFERROR(__xludf.DUMMYFUNCTION("""COMPUTED_VALUE"""),609644801)</f>
        <v>609644801</v>
      </c>
      <c r="B180" s="19" t="str">
        <f ca="1">IFERROR(__xludf.DUMMYFUNCTION("""COMPUTED_VALUE"""),"ofertasperdidinhas")</f>
        <v>ofertasperdidinhas</v>
      </c>
      <c r="C180" s="22" t="str">
        <f ca="1">IFERROR(__xludf.DUMMYFUNCTION("""COMPUTED_VALUE"""),"instagram.com/ofertas.perdidinhas")</f>
        <v>instagram.com/ofertas.perdidinhas</v>
      </c>
      <c r="D180" s="19">
        <f ca="1">IFERROR(__xludf.DUMMYFUNCTION("""COMPUTED_VALUE"""),128000)</f>
        <v>128000</v>
      </c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>
      <c r="A181" s="21">
        <f ca="1">IFERROR(__xludf.DUMMYFUNCTION("""COMPUTED_VALUE"""),1434017443)</f>
        <v>1434017443</v>
      </c>
      <c r="B181" s="19" t="str">
        <f ca="1">IFERROR(__xludf.DUMMYFUNCTION("""COMPUTED_VALUE"""),"fsupersale")</f>
        <v>fsupersale</v>
      </c>
      <c r="C181" s="22" t="str">
        <f ca="1">IFERROR(__xludf.DUMMYFUNCTION("""COMPUTED_VALUE"""),"https://www.instagram.com/guiadecomprasfh")</f>
        <v>https://www.instagram.com/guiadecomprasfh</v>
      </c>
      <c r="D181" s="19">
        <f ca="1">IFERROR(__xludf.DUMMYFUNCTION("""COMPUTED_VALUE"""),600)</f>
        <v>600</v>
      </c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>
      <c r="A182" s="21">
        <f ca="1">IFERROR(__xludf.DUMMYFUNCTION("""COMPUTED_VALUE"""),271562467)</f>
        <v>271562467</v>
      </c>
      <c r="B182" s="19" t="str">
        <f ca="1">IFERROR(__xludf.DUMMYFUNCTION("""COMPUTED_VALUE"""),"apromoperfeitaofc")</f>
        <v>apromoperfeitaofc</v>
      </c>
      <c r="C182" s="22" t="str">
        <f ca="1">IFERROR(__xludf.DUMMYFUNCTION("""COMPUTED_VALUE"""),"https://www.instagram.com/apromoperfeita/")</f>
        <v>https://www.instagram.com/apromoperfeita/</v>
      </c>
      <c r="D182" s="19">
        <f ca="1">IFERROR(__xludf.DUMMYFUNCTION("""COMPUTED_VALUE"""),140000)</f>
        <v>140000</v>
      </c>
      <c r="E182" s="22" t="str">
        <f ca="1">IFERROR(__xludf.DUMMYFUNCTION("""COMPUTED_VALUE"""),"https://www.tiktok.com/@apromoperfeita")</f>
        <v>https://www.tiktok.com/@apromoperfeita</v>
      </c>
      <c r="F182" s="19">
        <f ca="1">IFERROR(__xludf.DUMMYFUNCTION("""COMPUTED_VALUE"""),941)</f>
        <v>941</v>
      </c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>
      <c r="A183" s="21">
        <f ca="1">IFERROR(__xludf.DUMMYFUNCTION("""COMPUTED_VALUE"""),93608612)</f>
        <v>93608612</v>
      </c>
      <c r="B183" s="19" t="str">
        <f ca="1">IFERROR(__xludf.DUMMYFUNCTION("""COMPUTED_VALUE"""),"valeuadica")</f>
        <v>valeuadica</v>
      </c>
      <c r="C183" s="22" t="str">
        <f ca="1">IFERROR(__xludf.DUMMYFUNCTION("""COMPUTED_VALUE"""),"http://nao.uso.essa.rede")</f>
        <v>http://nao.uso.essa.rede</v>
      </c>
      <c r="D183" s="19">
        <f ca="1">IFERROR(__xludf.DUMMYFUNCTION("""COMPUTED_VALUE"""),0)</f>
        <v>0</v>
      </c>
      <c r="E183" s="22" t="str">
        <f ca="1">IFERROR(__xludf.DUMMYFUNCTION("""COMPUTED_VALUE"""),"http://nao.uso.essa.rede")</f>
        <v>http://nao.uso.essa.rede</v>
      </c>
      <c r="F183" s="19">
        <f ca="1">IFERROR(__xludf.DUMMYFUNCTION("""COMPUTED_VALUE"""),0)</f>
        <v>0</v>
      </c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>
      <c r="A184" s="21">
        <f ca="1">IFERROR(__xludf.DUMMYFUNCTION("""COMPUTED_VALUE"""),129772863)</f>
        <v>129772863</v>
      </c>
      <c r="B184" s="19" t="str">
        <f ca="1">IFERROR(__xludf.DUMMYFUNCTION("""COMPUTED_VALUE"""),"rayzaserri")</f>
        <v>rayzaserri</v>
      </c>
      <c r="C184" s="22" t="str">
        <f ca="1">IFERROR(__xludf.DUMMYFUNCTION("""COMPUTED_VALUE"""),"https://www.instagram.com/achados.economyza/")</f>
        <v>https://www.instagram.com/achados.economyza/</v>
      </c>
      <c r="D184" s="19">
        <f ca="1">IFERROR(__xludf.DUMMYFUNCTION("""COMPUTED_VALUE"""),80900)</f>
        <v>80900</v>
      </c>
      <c r="E184" s="22" t="str">
        <f ca="1">IFERROR(__xludf.DUMMYFUNCTION("""COMPUTED_VALUE"""),"https://www.tiktok.com/@achados.economyza")</f>
        <v>https://www.tiktok.com/@achados.economyza</v>
      </c>
      <c r="F184" s="19">
        <f ca="1">IFERROR(__xludf.DUMMYFUNCTION("""COMPUTED_VALUE"""),28)</f>
        <v>28</v>
      </c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>
      <c r="A185" s="21">
        <f ca="1">IFERROR(__xludf.DUMMYFUNCTION("""COMPUTED_VALUE"""),1426600144)</f>
        <v>1426600144</v>
      </c>
      <c r="B185" s="19" t="str">
        <f ca="1">IFERROR(__xludf.DUMMYFUNCTION("""COMPUTED_VALUE"""),"pedrodebrito")</f>
        <v>pedrodebrito</v>
      </c>
      <c r="C185" s="22" t="str">
        <f ca="1">IFERROR(__xludf.DUMMYFUNCTION("""COMPUTED_VALUE"""),"https://www.instagram.com/indica.pedro?igsh=ZjkyZWFjbTVkeDB5")</f>
        <v>https://www.instagram.com/indica.pedro?igsh=ZjkyZWFjbTVkeDB5</v>
      </c>
      <c r="D185" s="19">
        <f ca="1">IFERROR(__xludf.DUMMYFUNCTION("""COMPUTED_VALUE"""),2000)</f>
        <v>2000</v>
      </c>
      <c r="E185" s="22" t="str">
        <f ca="1">IFERROR(__xludf.DUMMYFUNCTION("""COMPUTED_VALUE"""),"https://www.tiktok.com/@simpsons.tech")</f>
        <v>https://www.tiktok.com/@simpsons.tech</v>
      </c>
      <c r="F185" s="19">
        <f ca="1">IFERROR(__xludf.DUMMYFUNCTION("""COMPUTED_VALUE"""),14800)</f>
        <v>14800</v>
      </c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>
      <c r="A186" s="21">
        <f ca="1">IFERROR(__xludf.DUMMYFUNCTION("""COMPUTED_VALUE"""),1531225553)</f>
        <v>1531225553</v>
      </c>
      <c r="B186" s="19" t="str">
        <f ca="1">IFERROR(__xludf.DUMMYFUNCTION("""COMPUTED_VALUE"""),"monsterofertas")</f>
        <v>monsterofertas</v>
      </c>
      <c r="C186" s="22" t="str">
        <f ca="1">IFERROR(__xludf.DUMMYFUNCTION("""COMPUTED_VALUE"""),"https://www.instagram.com/mosterofertas/?hl=en")</f>
        <v>https://www.instagram.com/mosterofertas/?hl=en</v>
      </c>
      <c r="D186" s="19">
        <f ca="1">IFERROR(__xludf.DUMMYFUNCTION("""COMPUTED_VALUE"""),30)</f>
        <v>30</v>
      </c>
      <c r="E186" s="22" t="str">
        <f ca="1">IFERROR(__xludf.DUMMYFUNCTION("""COMPUTED_VALUE"""),"https://www.tiktok.com/@monsterofertas?_t=ZM-8xh21zF0Kgi&amp;_r=1")</f>
        <v>https://www.tiktok.com/@monsterofertas?_t=ZM-8xh21zF0Kgi&amp;_r=1</v>
      </c>
      <c r="F186" s="19">
        <f ca="1">IFERROR(__xludf.DUMMYFUNCTION("""COMPUTED_VALUE"""),1)</f>
        <v>1</v>
      </c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>
      <c r="A187" s="21">
        <f ca="1">IFERROR(__xludf.DUMMYFUNCTION("""COMPUTED_VALUE"""),1944563635)</f>
        <v>1944563635</v>
      </c>
      <c r="B187" s="19" t="str">
        <f ca="1">IFERROR(__xludf.DUMMYFUNCTION("""COMPUTED_VALUE"""),"podiumdeofertas")</f>
        <v>podiumdeofertas</v>
      </c>
      <c r="C187" s="22" t="str">
        <f ca="1">IFERROR(__xludf.DUMMYFUNCTION("""COMPUTED_VALUE"""),"https://www.instagram.com/robertodaroz/")</f>
        <v>https://www.instagram.com/robertodaroz/</v>
      </c>
      <c r="D187" s="19">
        <f ca="1">IFERROR(__xludf.DUMMYFUNCTION("""COMPUTED_VALUE"""),1000)</f>
        <v>1000</v>
      </c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>
      <c r="A188" s="21">
        <f ca="1">IFERROR(__xludf.DUMMYFUNCTION("""COMPUTED_VALUE"""),238471146)</f>
        <v>238471146</v>
      </c>
      <c r="B188" s="19" t="str">
        <f ca="1">IFERROR(__xludf.DUMMYFUNCTION("""COMPUTED_VALUE"""),"akipromocoes")</f>
        <v>akipromocoes</v>
      </c>
      <c r="C188" s="22" t="str">
        <f ca="1">IFERROR(__xludf.DUMMYFUNCTION("""COMPUTED_VALUE"""),"www.instagram.com/akipromocoesoficial")</f>
        <v>www.instagram.com/akipromocoesoficial</v>
      </c>
      <c r="D188" s="19">
        <f ca="1">IFERROR(__xludf.DUMMYFUNCTION("""COMPUTED_VALUE"""),380000)</f>
        <v>380000</v>
      </c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>
      <c r="A189" s="21">
        <f ca="1">IFERROR(__xludf.DUMMYFUNCTION("""COMPUTED_VALUE"""),2440832119)</f>
        <v>2440832119</v>
      </c>
      <c r="B189" s="19" t="str">
        <f ca="1">IFERROR(__xludf.DUMMYFUNCTION("""COMPUTED_VALUE"""),"gameplayrj")</f>
        <v>gameplayrj</v>
      </c>
      <c r="C189" s="22" t="str">
        <f ca="1">IFERROR(__xludf.DUMMYFUNCTION("""COMPUTED_VALUE"""),"https://www.instagram.com/odavyjones/")</f>
        <v>https://www.instagram.com/odavyjones/</v>
      </c>
      <c r="D189" s="19">
        <f ca="1">IFERROR(__xludf.DUMMYFUNCTION("""COMPUTED_VALUE"""),1100000)</f>
        <v>1100000</v>
      </c>
      <c r="E189" s="22" t="str">
        <f ca="1">IFERROR(__xludf.DUMMYFUNCTION("""COMPUTED_VALUE"""),"https://www.tiktok.com/@odavyjones")</f>
        <v>https://www.tiktok.com/@odavyjones</v>
      </c>
      <c r="F189" s="19">
        <f ca="1">IFERROR(__xludf.DUMMYFUNCTION("""COMPUTED_VALUE"""),1100000)</f>
        <v>1100000</v>
      </c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>
      <c r="A190" s="21">
        <f ca="1">IFERROR(__xludf.DUMMYFUNCTION("""COMPUTED_VALUE"""),317818364)</f>
        <v>317818364</v>
      </c>
      <c r="B190" s="19" t="str">
        <f ca="1">IFERROR(__xludf.DUMMYFUNCTION("""COMPUTED_VALUE"""),"cantinhodaspromos")</f>
        <v>cantinhodaspromos</v>
      </c>
      <c r="C190" s="22" t="str">
        <f ca="1">IFERROR(__xludf.DUMMYFUNCTION("""COMPUTED_VALUE"""),"https://www.instagram.com/cantinho_das_promos?igsh=NnBuZng2dGhjbXpq&amp;utm_source=qr")</f>
        <v>https://www.instagram.com/cantinho_das_promos?igsh=NnBuZng2dGhjbXpq&amp;utm_source=qr</v>
      </c>
      <c r="D190" s="19">
        <f ca="1">IFERROR(__xludf.DUMMYFUNCTION("""COMPUTED_VALUE"""),3893)</f>
        <v>3893</v>
      </c>
      <c r="E190" s="22" t="str">
        <f ca="1">IFERROR(__xludf.DUMMYFUNCTION("""COMPUTED_VALUE"""),"https://www.tiktok.com/@cantinhodaspromosoficial?_t=ZM-8xmfi0UCyKz&amp;_r=1")</f>
        <v>https://www.tiktok.com/@cantinhodaspromosoficial?_t=ZM-8xmfi0UCyKz&amp;_r=1</v>
      </c>
      <c r="F190" s="19">
        <f ca="1">IFERROR(__xludf.DUMMYFUNCTION("""COMPUTED_VALUE"""),7359)</f>
        <v>7359</v>
      </c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>
      <c r="A191" s="21">
        <f ca="1">IFERROR(__xludf.DUMMYFUNCTION("""COMPUTED_VALUE"""),1297399555)</f>
        <v>1297399555</v>
      </c>
      <c r="B191" s="19" t="str">
        <f ca="1">IFERROR(__xludf.DUMMYFUNCTION("""COMPUTED_VALUE"""),"silva0012")</f>
        <v>silva0012</v>
      </c>
      <c r="C191" s="22" t="str">
        <f ca="1">IFERROR(__xludf.DUMMYFUNCTION("""COMPUTED_VALUE"""),"https://www.instagram.com/sharkdaspromo?igsh=ODlzNDNuMW9kZ3Bi")</f>
        <v>https://www.instagram.com/sharkdaspromo?igsh=ODlzNDNuMW9kZ3Bi</v>
      </c>
      <c r="D191" s="19">
        <f ca="1">IFERROR(__xludf.DUMMYFUNCTION("""COMPUTED_VALUE"""),900)</f>
        <v>900</v>
      </c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>
      <c r="A192" s="21">
        <f ca="1">IFERROR(__xludf.DUMMYFUNCTION("""COMPUTED_VALUE"""),1492123986)</f>
        <v>1492123986</v>
      </c>
      <c r="B192" s="19" t="str">
        <f ca="1">IFERROR(__xludf.DUMMYFUNCTION("""COMPUTED_VALUE"""),"bulldogameslendario")</f>
        <v>bulldogameslendario</v>
      </c>
      <c r="C192" s="19" t="str">
        <f ca="1">IFERROR(__xludf.DUMMYFUNCTION("""COMPUTED_VALUE"""),"")</f>
        <v/>
      </c>
      <c r="D192" s="19" t="str">
        <f ca="1">IFERROR(__xludf.DUMMYFUNCTION("""COMPUTED_VALUE"""),"")</f>
        <v/>
      </c>
      <c r="E192" s="19" t="str">
        <f ca="1">IFERROR(__xludf.DUMMYFUNCTION("""COMPUTED_VALUE"""),"")</f>
        <v/>
      </c>
      <c r="F192" s="19" t="str">
        <f ca="1">IFERROR(__xludf.DUMMYFUNCTION("""COMPUTED_VALUE"""),"")</f>
        <v/>
      </c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>
      <c r="A193" s="21">
        <f ca="1">IFERROR(__xludf.DUMMYFUNCTION("""COMPUTED_VALUE"""),9365170)</f>
        <v>9365170</v>
      </c>
      <c r="B193" s="19" t="str">
        <f ca="1">IFERROR(__xludf.DUMMYFUNCTION("""COMPUTED_VALUE"""),"danielmarvel")</f>
        <v>danielmarvel</v>
      </c>
      <c r="C193" s="22" t="str">
        <f ca="1">IFERROR(__xludf.DUMMYFUNCTION("""COMPUTED_VALUE"""),"https://www.instagram.com/eudanielmarvel")</f>
        <v>https://www.instagram.com/eudanielmarvel</v>
      </c>
      <c r="D193" s="19">
        <f ca="1">IFERROR(__xludf.DUMMYFUNCTION("""COMPUTED_VALUE"""),62100)</f>
        <v>62100</v>
      </c>
      <c r="E193" s="22" t="str">
        <f ca="1">IFERROR(__xludf.DUMMYFUNCTION("""COMPUTED_VALUE"""),"https://www.tiktok.com/@eudanielmarvel")</f>
        <v>https://www.tiktok.com/@eudanielmarvel</v>
      </c>
      <c r="F193" s="19">
        <f ca="1">IFERROR(__xludf.DUMMYFUNCTION("""COMPUTED_VALUE"""),27700)</f>
        <v>27700</v>
      </c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>
      <c r="A194" s="21">
        <f ca="1">IFERROR(__xludf.DUMMYFUNCTION("""COMPUTED_VALUE"""),2418855877)</f>
        <v>2418855877</v>
      </c>
      <c r="B194" s="19" t="str">
        <f ca="1">IFERROR(__xludf.DUMMYFUNCTION("""COMPUTED_VALUE"""),"josenildosilva2930")</f>
        <v>josenildosilva2930</v>
      </c>
      <c r="C194" s="22" t="str">
        <f ca="1">IFERROR(__xludf.DUMMYFUNCTION("""COMPUTED_VALUE"""),"https://www.instagram.com/dicasdacleyde")</f>
        <v>https://www.instagram.com/dicasdacleyde</v>
      </c>
      <c r="D194" s="19">
        <f ca="1">IFERROR(__xludf.DUMMYFUNCTION("""COMPUTED_VALUE"""),41000)</f>
        <v>41000</v>
      </c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>
      <c r="A195" s="21">
        <f ca="1">IFERROR(__xludf.DUMMYFUNCTION("""COMPUTED_VALUE"""),1542380813)</f>
        <v>1542380813</v>
      </c>
      <c r="B195" s="19" t="str">
        <f ca="1">IFERROR(__xludf.DUMMYFUNCTION("""COMPUTED_VALUE"""),"promosnahora_")</f>
        <v>promosnahora_</v>
      </c>
      <c r="C195" s="22" t="str">
        <f ca="1">IFERROR(__xludf.DUMMYFUNCTION("""COMPUTED_VALUE"""),"https://www.instagram.com/promosnahora/profilecard/?igsh=MTkyaG5zcTQzMGViOA==")</f>
        <v>https://www.instagram.com/promosnahora/profilecard/?igsh=MTkyaG5zcTQzMGViOA==</v>
      </c>
      <c r="D195" s="19">
        <f ca="1">IFERROR(__xludf.DUMMYFUNCTION("""COMPUTED_VALUE"""),398000)</f>
        <v>398000</v>
      </c>
      <c r="E195" s="22" t="str">
        <f ca="1">IFERROR(__xludf.DUMMYFUNCTION("""COMPUTED_VALUE"""),"https://www.tiktok.com/@promosnahora?_t=ZM-8xhmhcgD673&amp;_r=1")</f>
        <v>https://www.tiktok.com/@promosnahora?_t=ZM-8xhmhcgD673&amp;_r=1</v>
      </c>
      <c r="F195" s="19">
        <f ca="1">IFERROR(__xludf.DUMMYFUNCTION("""COMPUTED_VALUE"""),6924)</f>
        <v>6924</v>
      </c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>
      <c r="A196" s="21">
        <f ca="1">IFERROR(__xludf.DUMMYFUNCTION("""COMPUTED_VALUE"""),1478707361)</f>
        <v>1478707361</v>
      </c>
      <c r="B196" s="19" t="str">
        <f ca="1">IFERROR(__xludf.DUMMYFUNCTION("""COMPUTED_VALUE"""),"marciavascouto")</f>
        <v>marciavascouto</v>
      </c>
      <c r="C196" s="22" t="str">
        <f ca="1">IFERROR(__xludf.DUMMYFUNCTION("""COMPUTED_VALUE"""),"https://www.instagram.com/marciavascouto?igsh=MWVlbnFtbTVkODI5Zg%3D%3D&amp;utm_source=qr")</f>
        <v>https://www.instagram.com/marciavascouto?igsh=MWVlbnFtbTVkODI5Zg%3D%3D&amp;utm_source=qr</v>
      </c>
      <c r="D196" s="19">
        <f ca="1">IFERROR(__xludf.DUMMYFUNCTION("""COMPUTED_VALUE"""),313000)</f>
        <v>313000</v>
      </c>
      <c r="E196" s="22" t="str">
        <f ca="1">IFERROR(__xludf.DUMMYFUNCTION("""COMPUTED_VALUE"""),"https://www.tiktok.com/@marciavascouto?_t=ZM-8xi0gFkTQOs&amp;_r=1")</f>
        <v>https://www.tiktok.com/@marciavascouto?_t=ZM-8xi0gFkTQOs&amp;_r=1</v>
      </c>
      <c r="F196" s="19">
        <f ca="1">IFERROR(__xludf.DUMMYFUNCTION("""COMPUTED_VALUE"""),244000)</f>
        <v>244000</v>
      </c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>
      <c r="A197" s="21">
        <f ca="1">IFERROR(__xludf.DUMMYFUNCTION("""COMPUTED_VALUE"""),1764923140)</f>
        <v>1764923140</v>
      </c>
      <c r="B197" s="19" t="str">
        <f ca="1">IFERROR(__xludf.DUMMYFUNCTION("""COMPUTED_VALUE"""),"italocanellayt")</f>
        <v>italocanellayt</v>
      </c>
      <c r="C197" s="19" t="str">
        <f ca="1">IFERROR(__xludf.DUMMYFUNCTION("""COMPUTED_VALUE"""),"")</f>
        <v/>
      </c>
      <c r="D197" s="19" t="str">
        <f ca="1">IFERROR(__xludf.DUMMYFUNCTION("""COMPUTED_VALUE"""),"")</f>
        <v/>
      </c>
      <c r="E197" s="19" t="str">
        <f ca="1">IFERROR(__xludf.DUMMYFUNCTION("""COMPUTED_VALUE"""),"")</f>
        <v/>
      </c>
      <c r="F197" s="19" t="str">
        <f ca="1">IFERROR(__xludf.DUMMYFUNCTION("""COMPUTED_VALUE"""),"")</f>
        <v/>
      </c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>
      <c r="A198" s="21">
        <f ca="1">IFERROR(__xludf.DUMMYFUNCTION("""COMPUTED_VALUE"""),1457548527)</f>
        <v>1457548527</v>
      </c>
      <c r="B198" s="19" t="str">
        <f ca="1">IFERROR(__xludf.DUMMYFUNCTION("""COMPUTED_VALUE"""),"sydescontinho")</f>
        <v>sydescontinho</v>
      </c>
      <c r="C198" s="22" t="str">
        <f ca="1">IFERROR(__xludf.DUMMYFUNCTION("""COMPUTED_VALUE"""),"https://www.instagram.com/sydescontinho?igsh=MXUxbHFqN3FlNXQ4MA%3D%3D&amp;utm_source=qr")</f>
        <v>https://www.instagram.com/sydescontinho?igsh=MXUxbHFqN3FlNXQ4MA%3D%3D&amp;utm_source=qr</v>
      </c>
      <c r="D198" s="19">
        <f ca="1">IFERROR(__xludf.DUMMYFUNCTION("""COMPUTED_VALUE"""),3000)</f>
        <v>3000</v>
      </c>
      <c r="E198" s="22" t="str">
        <f ca="1">IFERROR(__xludf.DUMMYFUNCTION("""COMPUTED_VALUE"""),"https://www.tiktok.com/@shareyourdescontinho?_t=ZM-8xg4NwNIXbi&amp;_r=1")</f>
        <v>https://www.tiktok.com/@shareyourdescontinho?_t=ZM-8xg4NwNIXbi&amp;_r=1</v>
      </c>
      <c r="F198" s="19">
        <f ca="1">IFERROR(__xludf.DUMMYFUNCTION("""COMPUTED_VALUE"""),87)</f>
        <v>87</v>
      </c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>
      <c r="A199" s="21">
        <f ca="1">IFERROR(__xludf.DUMMYFUNCTION("""COMPUTED_VALUE"""),133467538)</f>
        <v>133467538</v>
      </c>
      <c r="B199" s="19" t="str">
        <f ca="1">IFERROR(__xludf.DUMMYFUNCTION("""COMPUTED_VALUE"""),"mcsp")</f>
        <v>mcsp</v>
      </c>
      <c r="C199" s="22" t="str">
        <f ca="1">IFERROR(__xludf.DUMMYFUNCTION("""COMPUTED_VALUE"""),"https://www.instagram.com/maiaraportooficial/")</f>
        <v>https://www.instagram.com/maiaraportooficial/</v>
      </c>
      <c r="D199" s="19">
        <f ca="1">IFERROR(__xludf.DUMMYFUNCTION("""COMPUTED_VALUE"""),46000)</f>
        <v>46000</v>
      </c>
      <c r="E199" s="22" t="str">
        <f ca="1">IFERROR(__xludf.DUMMYFUNCTION("""COMPUTED_VALUE"""),"https://www.tiktok.com/@portomaiara")</f>
        <v>https://www.tiktok.com/@portomaiara</v>
      </c>
      <c r="F199" s="19">
        <f ca="1">IFERROR(__xludf.DUMMYFUNCTION("""COMPUTED_VALUE"""),12000)</f>
        <v>12000</v>
      </c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>
      <c r="A200" s="21">
        <f ca="1">IFERROR(__xludf.DUMMYFUNCTION("""COMPUTED_VALUE"""),174564919)</f>
        <v>174564919</v>
      </c>
      <c r="B200" s="19" t="str">
        <f ca="1">IFERROR(__xludf.DUMMYFUNCTION("""COMPUTED_VALUE"""),"rebecadionizio")</f>
        <v>rebecadionizio</v>
      </c>
      <c r="C200" s="19" t="str">
        <f ca="1">IFERROR(__xludf.DUMMYFUNCTION("""COMPUTED_VALUE"""),"")</f>
        <v/>
      </c>
      <c r="D200" s="19" t="str">
        <f ca="1">IFERROR(__xludf.DUMMYFUNCTION("""COMPUTED_VALUE"""),"")</f>
        <v/>
      </c>
      <c r="E200" s="19" t="str">
        <f ca="1">IFERROR(__xludf.DUMMYFUNCTION("""COMPUTED_VALUE"""),"")</f>
        <v/>
      </c>
      <c r="F200" s="19" t="str">
        <f ca="1">IFERROR(__xludf.DUMMYFUNCTION("""COMPUTED_VALUE"""),"")</f>
        <v/>
      </c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>
      <c r="A201" s="21">
        <f ca="1">IFERROR(__xludf.DUMMYFUNCTION("""COMPUTED_VALUE"""),205028015)</f>
        <v>205028015</v>
      </c>
      <c r="B201" s="19" t="str">
        <f ca="1">IFERROR(__xludf.DUMMYFUNCTION("""COMPUTED_VALUE"""),"achadinhosexcelente")</f>
        <v>achadinhosexcelente</v>
      </c>
      <c r="C201" s="22" t="str">
        <f ca="1">IFERROR(__xludf.DUMMYFUNCTION("""COMPUTED_VALUE"""),"https://www.instagram.com/achadinhos.excelentes/")</f>
        <v>https://www.instagram.com/achadinhos.excelentes/</v>
      </c>
      <c r="D201" s="19">
        <f ca="1">IFERROR(__xludf.DUMMYFUNCTION("""COMPUTED_VALUE"""),633)</f>
        <v>633</v>
      </c>
      <c r="E201" s="22" t="str">
        <f ca="1">IFERROR(__xludf.DUMMYFUNCTION("""COMPUTED_VALUE"""),"https://www.tiktok.com/@achadinhosexcelentes?_t=ZM-8yeRl3fJF81&amp;_r=1")</f>
        <v>https://www.tiktok.com/@achadinhosexcelentes?_t=ZM-8yeRl3fJF81&amp;_r=1</v>
      </c>
      <c r="F201" s="19">
        <f ca="1">IFERROR(__xludf.DUMMYFUNCTION("""COMPUTED_VALUE"""),662)</f>
        <v>662</v>
      </c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>
      <c r="A202" s="21">
        <f ca="1">IFERROR(__xludf.DUMMYFUNCTION("""COMPUTED_VALUE"""),311285776)</f>
        <v>311285776</v>
      </c>
      <c r="B202" s="19" t="str">
        <f ca="1">IFERROR(__xludf.DUMMYFUNCTION("""COMPUTED_VALUE"""),"bigofertasvip")</f>
        <v>bigofertasvip</v>
      </c>
      <c r="C202" s="22" t="str">
        <f ca="1">IFERROR(__xludf.DUMMYFUNCTION("""COMPUTED_VALUE"""),"https://www.instagram.com/bigofertasvip/")</f>
        <v>https://www.instagram.com/bigofertasvip/</v>
      </c>
      <c r="D202" s="19">
        <f ca="1">IFERROR(__xludf.DUMMYFUNCTION("""COMPUTED_VALUE"""),40000)</f>
        <v>40000</v>
      </c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>
      <c r="A203" s="21">
        <f ca="1">IFERROR(__xludf.DUMMYFUNCTION("""COMPUTED_VALUE"""),1890922253)</f>
        <v>1890922253</v>
      </c>
      <c r="B203" s="19" t="str">
        <f ca="1">IFERROR(__xludf.DUMMYFUNCTION("""COMPUTED_VALUE"""),"promohype")</f>
        <v>promohype</v>
      </c>
      <c r="C203" s="19" t="str">
        <f ca="1">IFERROR(__xludf.DUMMYFUNCTION("""COMPUTED_VALUE"""),"")</f>
        <v/>
      </c>
      <c r="D203" s="19" t="str">
        <f ca="1">IFERROR(__xludf.DUMMYFUNCTION("""COMPUTED_VALUE"""),"")</f>
        <v/>
      </c>
      <c r="E203" s="19" t="str">
        <f ca="1">IFERROR(__xludf.DUMMYFUNCTION("""COMPUTED_VALUE"""),"")</f>
        <v/>
      </c>
      <c r="F203" s="19" t="str">
        <f ca="1">IFERROR(__xludf.DUMMYFUNCTION("""COMPUTED_VALUE"""),"")</f>
        <v/>
      </c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>
      <c r="A204" s="21">
        <f ca="1">IFERROR(__xludf.DUMMYFUNCTION("""COMPUTED_VALUE"""),151613737)</f>
        <v>151613737</v>
      </c>
      <c r="B204" s="19" t="str">
        <f ca="1">IFERROR(__xludf.DUMMYFUNCTION("""COMPUTED_VALUE"""),"rafaelsalvador")</f>
        <v>rafaelsalvador</v>
      </c>
      <c r="C204" s="22" t="str">
        <f ca="1">IFERROR(__xludf.DUMMYFUNCTION("""COMPUTED_VALUE"""),"instagram.com/promosdorafa_")</f>
        <v>instagram.com/promosdorafa_</v>
      </c>
      <c r="D204" s="19">
        <f ca="1">IFERROR(__xludf.DUMMYFUNCTION("""COMPUTED_VALUE"""),600)</f>
        <v>600</v>
      </c>
      <c r="E204" s="22" t="str">
        <f ca="1">IFERROR(__xludf.DUMMYFUNCTION("""COMPUTED_VALUE"""),"tiktok.com.br/promosdorafa")</f>
        <v>tiktok.com.br/promosdorafa</v>
      </c>
      <c r="F204" s="19">
        <f ca="1">IFERROR(__xludf.DUMMYFUNCTION("""COMPUTED_VALUE"""),3500)</f>
        <v>3500</v>
      </c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>
      <c r="A205" s="21">
        <f ca="1">IFERROR(__xludf.DUMMYFUNCTION("""COMPUTED_VALUE"""),165269796)</f>
        <v>165269796</v>
      </c>
      <c r="B205" s="19" t="str">
        <f ca="1">IFERROR(__xludf.DUMMYFUNCTION("""COMPUTED_VALUE"""),"felipericardo")</f>
        <v>felipericardo</v>
      </c>
      <c r="C205" s="22" t="str">
        <f ca="1">IFERROR(__xludf.DUMMYFUNCTION("""COMPUTED_VALUE"""),"https://www.instagram.com/_felipericardoo/")</f>
        <v>https://www.instagram.com/_felipericardoo/</v>
      </c>
      <c r="D205" s="19">
        <f ca="1">IFERROR(__xludf.DUMMYFUNCTION("""COMPUTED_VALUE"""),120000)</f>
        <v>120000</v>
      </c>
      <c r="E205" s="22" t="str">
        <f ca="1">IFERROR(__xludf.DUMMYFUNCTION("""COMPUTED_VALUE"""),"https://www.tiktok.com/@felipericardoo7")</f>
        <v>https://www.tiktok.com/@felipericardoo7</v>
      </c>
      <c r="F205" s="19">
        <f ca="1">IFERROR(__xludf.DUMMYFUNCTION("""COMPUTED_VALUE"""),22000)</f>
        <v>22000</v>
      </c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>
      <c r="A206" s="21">
        <f ca="1">IFERROR(__xludf.DUMMYFUNCTION("""COMPUTED_VALUE"""),1377978276)</f>
        <v>1377978276</v>
      </c>
      <c r="B206" s="19" t="str">
        <f ca="1">IFERROR(__xludf.DUMMYFUNCTION("""COMPUTED_VALUE"""),"superdicas")</f>
        <v>superdicas</v>
      </c>
      <c r="C206" s="22" t="str">
        <f ca="1">IFERROR(__xludf.DUMMYFUNCTION("""COMPUTED_VALUE"""),"https://www.instagram.com/superdicasecupons")</f>
        <v>https://www.instagram.com/superdicasecupons</v>
      </c>
      <c r="D206" s="19">
        <f ca="1">IFERROR(__xludf.DUMMYFUNCTION("""COMPUTED_VALUE"""),2587)</f>
        <v>2587</v>
      </c>
      <c r="E206" s="22" t="str">
        <f ca="1">IFERROR(__xludf.DUMMYFUNCTION("""COMPUTED_VALUE"""),"https://www.tiktok.com/@superdicasecupons")</f>
        <v>https://www.tiktok.com/@superdicasecupons</v>
      </c>
      <c r="F206" s="19">
        <f ca="1">IFERROR(__xludf.DUMMYFUNCTION("""COMPUTED_VALUE"""),587)</f>
        <v>587</v>
      </c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>
      <c r="A207" s="21">
        <f ca="1">IFERROR(__xludf.DUMMYFUNCTION("""COMPUTED_VALUE"""),141495725)</f>
        <v>141495725</v>
      </c>
      <c r="B207" s="19" t="str">
        <f ca="1">IFERROR(__xludf.DUMMYFUNCTION("""COMPUTED_VALUE"""),"bertolifabio20230915200717")</f>
        <v>bertolifabio20230915200717</v>
      </c>
      <c r="C207" s="22" t="str">
        <f ca="1">IFERROR(__xludf.DUMMYFUNCTION("""COMPUTED_VALUE"""),"https://www.instagram.com/economizeiro/")</f>
        <v>https://www.instagram.com/economizeiro/</v>
      </c>
      <c r="D207" s="19">
        <f ca="1">IFERROR(__xludf.DUMMYFUNCTION("""COMPUTED_VALUE"""),8286)</f>
        <v>8286</v>
      </c>
      <c r="E207" s="19"/>
      <c r="F207" s="19">
        <f ca="1">IFERROR(__xludf.DUMMYFUNCTION("""COMPUTED_VALUE"""),0)</f>
        <v>0</v>
      </c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>
      <c r="A208" s="21">
        <f ca="1">IFERROR(__xludf.DUMMYFUNCTION("""COMPUTED_VALUE"""),187537453)</f>
        <v>187537453</v>
      </c>
      <c r="B208" s="19" t="str">
        <f ca="1">IFERROR(__xludf.DUMMYFUNCTION("""COMPUTED_VALUE"""),"guiato")</f>
        <v>guiato</v>
      </c>
      <c r="C208" s="19" t="str">
        <f ca="1">IFERROR(__xludf.DUMMYFUNCTION("""COMPUTED_VALUE"""),"")</f>
        <v/>
      </c>
      <c r="D208" s="19" t="str">
        <f ca="1">IFERROR(__xludf.DUMMYFUNCTION("""COMPUTED_VALUE"""),"")</f>
        <v/>
      </c>
      <c r="E208" s="19" t="str">
        <f ca="1">IFERROR(__xludf.DUMMYFUNCTION("""COMPUTED_VALUE"""),"")</f>
        <v/>
      </c>
      <c r="F208" s="19" t="str">
        <f ca="1">IFERROR(__xludf.DUMMYFUNCTION("""COMPUTED_VALUE"""),"")</f>
        <v/>
      </c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>
      <c r="A209" s="21">
        <f ca="1">IFERROR(__xludf.DUMMYFUNCTION("""COMPUTED_VALUE"""),1173888746)</f>
        <v>1173888746</v>
      </c>
      <c r="B209" s="19" t="str">
        <f ca="1">IFERROR(__xludf.DUMMYFUNCTION("""COMPUTED_VALUE"""),"babicunha")</f>
        <v>babicunha</v>
      </c>
      <c r="C209" s="22" t="str">
        <f ca="1">IFERROR(__xludf.DUMMYFUNCTION("""COMPUTED_VALUE"""),"https://www.instagram.com/malucasdapromo/")</f>
        <v>https://www.instagram.com/malucasdapromo/</v>
      </c>
      <c r="D209" s="19">
        <f ca="1">IFERROR(__xludf.DUMMYFUNCTION("""COMPUTED_VALUE"""),23000)</f>
        <v>23000</v>
      </c>
      <c r="E209" s="22" t="str">
        <f ca="1">IFERROR(__xludf.DUMMYFUNCTION("""COMPUTED_VALUE"""),"https://www.tiktok.com/@malucasdapromo?_t=ZM-8y6xUHKqwEv&amp;_r=1")</f>
        <v>https://www.tiktok.com/@malucasdapromo?_t=ZM-8y6xUHKqwEv&amp;_r=1</v>
      </c>
      <c r="F209" s="19">
        <f ca="1">IFERROR(__xludf.DUMMYFUNCTION("""COMPUTED_VALUE"""),228000)</f>
        <v>228000</v>
      </c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>
      <c r="A210" s="21">
        <f ca="1">IFERROR(__xludf.DUMMYFUNCTION("""COMPUTED_VALUE"""),243920864)</f>
        <v>243920864</v>
      </c>
      <c r="B210" s="19" t="str">
        <f ca="1">IFERROR(__xludf.DUMMYFUNCTION("""COMPUTED_VALUE"""),"possovercomamao")</f>
        <v>possovercomamao</v>
      </c>
      <c r="C210" s="19" t="str">
        <f ca="1">IFERROR(__xludf.DUMMYFUNCTION("""COMPUTED_VALUE"""),"")</f>
        <v/>
      </c>
      <c r="D210" s="19" t="str">
        <f ca="1">IFERROR(__xludf.DUMMYFUNCTION("""COMPUTED_VALUE"""),"")</f>
        <v/>
      </c>
      <c r="E210" s="19" t="str">
        <f ca="1">IFERROR(__xludf.DUMMYFUNCTION("""COMPUTED_VALUE"""),"")</f>
        <v/>
      </c>
      <c r="F210" s="19" t="str">
        <f ca="1">IFERROR(__xludf.DUMMYFUNCTION("""COMPUTED_VALUE"""),"")</f>
        <v/>
      </c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>
      <c r="A211" s="21">
        <f ca="1">IFERROR(__xludf.DUMMYFUNCTION("""COMPUTED_VALUE"""),2208809834)</f>
        <v>2208809834</v>
      </c>
      <c r="B211" s="19" t="str">
        <f ca="1">IFERROR(__xludf.DUMMYFUNCTION("""COMPUTED_VALUE"""),"espieiofertas")</f>
        <v>espieiofertas</v>
      </c>
      <c r="C211" s="22" t="str">
        <f ca="1">IFERROR(__xludf.DUMMYFUNCTION("""COMPUTED_VALUE"""),"https://www.instagram.com/espieioferta/")</f>
        <v>https://www.instagram.com/espieioferta/</v>
      </c>
      <c r="D211" s="19">
        <f ca="1">IFERROR(__xludf.DUMMYFUNCTION("""COMPUTED_VALUE"""),1361)</f>
        <v>1361</v>
      </c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>
      <c r="A212" s="21">
        <f ca="1">IFERROR(__xludf.DUMMYFUNCTION("""COMPUTED_VALUE"""),1446956733)</f>
        <v>1446956733</v>
      </c>
      <c r="B212" s="19" t="str">
        <f ca="1">IFERROR(__xludf.DUMMYFUNCTION("""COMPUTED_VALUE"""),"achadinhosdapri")</f>
        <v>achadinhosdapri</v>
      </c>
      <c r="C212" s="22" t="str">
        <f ca="1">IFERROR(__xludf.DUMMYFUNCTION("""COMPUTED_VALUE"""),"https://www.instagram.com/quartetofantasticodapri?igsh=MXExZGlxY3ZpOWNuZg==")</f>
        <v>https://www.instagram.com/quartetofantasticodapri?igsh=MXExZGlxY3ZpOWNuZg==</v>
      </c>
      <c r="D212" s="19">
        <f ca="1">IFERROR(__xludf.DUMMYFUNCTION("""COMPUTED_VALUE"""),15000)</f>
        <v>15000</v>
      </c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>
      <c r="A213" s="21">
        <f ca="1">IFERROR(__xludf.DUMMYFUNCTION("""COMPUTED_VALUE"""),2106056468)</f>
        <v>2106056468</v>
      </c>
      <c r="B213" s="19" t="str">
        <f ca="1">IFERROR(__xludf.DUMMYFUNCTION("""COMPUTED_VALUE"""),"vm20241118150355")</f>
        <v>vm20241118150355</v>
      </c>
      <c r="C213" s="19" t="str">
        <f ca="1">IFERROR(__xludf.DUMMYFUNCTION("""COMPUTED_VALUE"""),"")</f>
        <v/>
      </c>
      <c r="D213" s="19" t="str">
        <f ca="1">IFERROR(__xludf.DUMMYFUNCTION("""COMPUTED_VALUE"""),"")</f>
        <v/>
      </c>
      <c r="E213" s="19" t="str">
        <f ca="1">IFERROR(__xludf.DUMMYFUNCTION("""COMPUTED_VALUE"""),"")</f>
        <v/>
      </c>
      <c r="F213" s="19" t="str">
        <f ca="1">IFERROR(__xludf.DUMMYFUNCTION("""COMPUTED_VALUE"""),"")</f>
        <v/>
      </c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>
      <c r="A214" s="21">
        <f ca="1">IFERROR(__xludf.DUMMYFUNCTION("""COMPUTED_VALUE"""),1862563279)</f>
        <v>1862563279</v>
      </c>
      <c r="B214" s="19" t="str">
        <f ca="1">IFERROR(__xludf.DUMMYFUNCTION("""COMPUTED_VALUE"""),"tanodescontinho")</f>
        <v>tanodescontinho</v>
      </c>
      <c r="C214" s="19" t="str">
        <f ca="1">IFERROR(__xludf.DUMMYFUNCTION("""COMPUTED_VALUE"""),"")</f>
        <v/>
      </c>
      <c r="D214" s="19" t="str">
        <f ca="1">IFERROR(__xludf.DUMMYFUNCTION("""COMPUTED_VALUE"""),"")</f>
        <v/>
      </c>
      <c r="E214" s="19" t="str">
        <f ca="1">IFERROR(__xludf.DUMMYFUNCTION("""COMPUTED_VALUE"""),"")</f>
        <v/>
      </c>
      <c r="F214" s="19" t="str">
        <f ca="1">IFERROR(__xludf.DUMMYFUNCTION("""COMPUTED_VALUE"""),"")</f>
        <v/>
      </c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>
      <c r="A215" s="21">
        <f ca="1">IFERROR(__xludf.DUMMYFUNCTION("""COMPUTED_VALUE"""),128766600)</f>
        <v>128766600</v>
      </c>
      <c r="B215" s="19" t="str">
        <f ca="1">IFERROR(__xludf.DUMMYFUNCTION("""COMPUTED_VALUE"""),"pcdorafa")</f>
        <v>pcdorafa</v>
      </c>
      <c r="C215" s="19" t="str">
        <f ca="1">IFERROR(__xludf.DUMMYFUNCTION("""COMPUTED_VALUE"""),"")</f>
        <v/>
      </c>
      <c r="D215" s="19" t="str">
        <f ca="1">IFERROR(__xludf.DUMMYFUNCTION("""COMPUTED_VALUE"""),"")</f>
        <v/>
      </c>
      <c r="E215" s="19" t="str">
        <f ca="1">IFERROR(__xludf.DUMMYFUNCTION("""COMPUTED_VALUE"""),"")</f>
        <v/>
      </c>
      <c r="F215" s="19" t="str">
        <f ca="1">IFERROR(__xludf.DUMMYFUNCTION("""COMPUTED_VALUE"""),"")</f>
        <v/>
      </c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>
      <c r="A216" s="21">
        <f ca="1">IFERROR(__xludf.DUMMYFUNCTION("""COMPUTED_VALUE"""),1477767000)</f>
        <v>1477767000</v>
      </c>
      <c r="B216" s="19" t="str">
        <f ca="1">IFERROR(__xludf.DUMMYFUNCTION("""COMPUTED_VALUE"""),"imperador")</f>
        <v>imperador</v>
      </c>
      <c r="C216" s="22" t="str">
        <f ca="1">IFERROR(__xludf.DUMMYFUNCTION("""COMPUTED_VALUE"""),"https://www.instagram.com/imperadordaspromocoes/")</f>
        <v>https://www.instagram.com/imperadordaspromocoes/</v>
      </c>
      <c r="D216" s="19">
        <f ca="1">IFERROR(__xludf.DUMMYFUNCTION("""COMPUTED_VALUE"""),137000)</f>
        <v>137000</v>
      </c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>
      <c r="A217" s="21">
        <f ca="1">IFERROR(__xludf.DUMMYFUNCTION("""COMPUTED_VALUE"""),1590840544)</f>
        <v>1590840544</v>
      </c>
      <c r="B217" s="19" t="str">
        <f ca="1">IFERROR(__xludf.DUMMYFUNCTION("""COMPUTED_VALUE"""),"comprare")</f>
        <v>comprare</v>
      </c>
      <c r="C217" s="22" t="str">
        <f ca="1">IFERROR(__xludf.DUMMYFUNCTION("""COMPUTED_VALUE"""),"https://www.instagram.com/asofertasdahora")</f>
        <v>https://www.instagram.com/asofertasdahora</v>
      </c>
      <c r="D217" s="19">
        <f ca="1">IFERROR(__xludf.DUMMYFUNCTION("""COMPUTED_VALUE"""),560)</f>
        <v>560</v>
      </c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>
      <c r="A218" s="21">
        <f ca="1">IFERROR(__xludf.DUMMYFUNCTION("""COMPUTED_VALUE"""),157729823)</f>
        <v>157729823</v>
      </c>
      <c r="B218" s="19" t="str">
        <f ca="1">IFERROR(__xludf.DUMMYFUNCTION("""COMPUTED_VALUE"""),"def")</f>
        <v>def</v>
      </c>
      <c r="C218" s="22" t="str">
        <f ca="1">IFERROR(__xludf.DUMMYFUNCTION("""COMPUTED_VALUE"""),"https://www.instagram.com/lokaodaspromo")</f>
        <v>https://www.instagram.com/lokaodaspromo</v>
      </c>
      <c r="D218" s="19">
        <f ca="1">IFERROR(__xludf.DUMMYFUNCTION("""COMPUTED_VALUE"""),2242)</f>
        <v>2242</v>
      </c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>
      <c r="A219" s="21">
        <f ca="1">IFERROR(__xludf.DUMMYFUNCTION("""COMPUTED_VALUE"""),1460641122)</f>
        <v>1460641122</v>
      </c>
      <c r="B219" s="19" t="str">
        <f ca="1">IFERROR(__xludf.DUMMYFUNCTION("""COMPUTED_VALUE"""),"gruposef")</f>
        <v>gruposef</v>
      </c>
      <c r="C219" s="22" t="str">
        <f ca="1">IFERROR(__xludf.DUMMYFUNCTION("""COMPUTED_VALUE"""),"https://www.youtube.com/c/Sa%C3%BAdeemForma")</f>
        <v>https://www.youtube.com/c/Sa%C3%BAdeemForma</v>
      </c>
      <c r="D219" s="19">
        <f ca="1">IFERROR(__xludf.DUMMYFUNCTION("""COMPUTED_VALUE"""),27600)</f>
        <v>27600</v>
      </c>
      <c r="E219" s="22" t="str">
        <f ca="1">IFERROR(__xludf.DUMMYFUNCTION("""COMPUTED_VALUE"""),"https://www.tiktok.com/@mateus.sef")</f>
        <v>https://www.tiktok.com/@mateus.sef</v>
      </c>
      <c r="F219" s="19">
        <f ca="1">IFERROR(__xludf.DUMMYFUNCTION("""COMPUTED_VALUE"""),3484)</f>
        <v>3484</v>
      </c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>
      <c r="A220" s="21">
        <f ca="1">IFERROR(__xludf.DUMMYFUNCTION("""COMPUTED_VALUE"""),1359646788)</f>
        <v>1359646788</v>
      </c>
      <c r="B220" s="19" t="str">
        <f ca="1">IFERROR(__xludf.DUMMYFUNCTION("""COMPUTED_VALUE"""),"marcustech")</f>
        <v>marcustech</v>
      </c>
      <c r="C220" s="22" t="str">
        <f ca="1">IFERROR(__xludf.DUMMYFUNCTION("""COMPUTED_VALUE"""),"https://instagram.com/marcustech.oficial?igshid=YmMyMTA2M2Y=")</f>
        <v>https://instagram.com/marcustech.oficial?igshid=YmMyMTA2M2Y=</v>
      </c>
      <c r="D220" s="19">
        <f ca="1">IFERROR(__xludf.DUMMYFUNCTION("""COMPUTED_VALUE"""),9500)</f>
        <v>9500</v>
      </c>
      <c r="E220" s="22" t="str">
        <f ca="1">IFERROR(__xludf.DUMMYFUNCTION("""COMPUTED_VALUE"""),"https://www.youtube.com/@marcustech")</f>
        <v>https://www.youtube.com/@marcustech</v>
      </c>
      <c r="F220" s="19">
        <f ca="1">IFERROR(__xludf.DUMMYFUNCTION("""COMPUTED_VALUE"""),133000)</f>
        <v>133000</v>
      </c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>
      <c r="A221" s="21">
        <f ca="1">IFERROR(__xludf.DUMMYFUNCTION("""COMPUTED_VALUE"""),110018205)</f>
        <v>110018205</v>
      </c>
      <c r="B221" s="19" t="str">
        <f ca="1">IFERROR(__xludf.DUMMYFUNCTION("""COMPUTED_VALUE"""),"ofertinha")</f>
        <v>ofertinha</v>
      </c>
      <c r="C221" s="19" t="str">
        <f ca="1">IFERROR(__xludf.DUMMYFUNCTION("""COMPUTED_VALUE"""),"")</f>
        <v/>
      </c>
      <c r="D221" s="19" t="str">
        <f ca="1">IFERROR(__xludf.DUMMYFUNCTION("""COMPUTED_VALUE"""),"")</f>
        <v/>
      </c>
      <c r="E221" s="19" t="str">
        <f ca="1">IFERROR(__xludf.DUMMYFUNCTION("""COMPUTED_VALUE"""),"")</f>
        <v/>
      </c>
      <c r="F221" s="19" t="str">
        <f ca="1">IFERROR(__xludf.DUMMYFUNCTION("""COMPUTED_VALUE"""),"")</f>
        <v/>
      </c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>
      <c r="A222" s="21">
        <f ca="1">IFERROR(__xludf.DUMMYFUNCTION("""COMPUTED_VALUE"""),224168003)</f>
        <v>224168003</v>
      </c>
      <c r="B222" s="19" t="str">
        <f ca="1">IFERROR(__xludf.DUMMYFUNCTION("""COMPUTED_VALUE"""),"dayanepatriarca")</f>
        <v>dayanepatriarca</v>
      </c>
      <c r="C222" s="22" t="str">
        <f ca="1">IFERROR(__xludf.DUMMYFUNCTION("""COMPUTED_VALUE"""),"https://www.instagram.com/dayanepatriarca_?igsh=MXcxdGw2OTUycWlwMA%3D%3D&amp;utm_source=qr")</f>
        <v>https://www.instagram.com/dayanepatriarca_?igsh=MXcxdGw2OTUycWlwMA%3D%3D&amp;utm_source=qr</v>
      </c>
      <c r="D222" s="19">
        <f ca="1">IFERROR(__xludf.DUMMYFUNCTION("""COMPUTED_VALUE"""),39700)</f>
        <v>39700</v>
      </c>
      <c r="E222" s="22" t="str">
        <f ca="1">IFERROR(__xludf.DUMMYFUNCTION("""COMPUTED_VALUE"""),"https://www.tiktok.com/@dayanepatriarca_?_t=ZM-8ydNYa7KKYf&amp;_r=1")</f>
        <v>https://www.tiktok.com/@dayanepatriarca_?_t=ZM-8ydNYa7KKYf&amp;_r=1</v>
      </c>
      <c r="F222" s="19">
        <f ca="1">IFERROR(__xludf.DUMMYFUNCTION("""COMPUTED_VALUE"""),6100)</f>
        <v>6100</v>
      </c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>
      <c r="A223" s="21">
        <f ca="1">IFERROR(__xludf.DUMMYFUNCTION("""COMPUTED_VALUE"""),770450283)</f>
        <v>770450283</v>
      </c>
      <c r="B223" s="19" t="str">
        <f ca="1">IFERROR(__xludf.DUMMYFUNCTION("""COMPUTED_VALUE"""),"senhorlinguica")</f>
        <v>senhorlinguica</v>
      </c>
      <c r="C223" s="22" t="str">
        <f ca="1">IFERROR(__xludf.DUMMYFUNCTION("""COMPUTED_VALUE"""),"https://www.instagram.com/senhorlinguicayt?igsh=NGN0aHZkb3lpY2ls")</f>
        <v>https://www.instagram.com/senhorlinguicayt?igsh=NGN0aHZkb3lpY2ls</v>
      </c>
      <c r="D223" s="19">
        <f ca="1">IFERROR(__xludf.DUMMYFUNCTION("""COMPUTED_VALUE"""),14100)</f>
        <v>14100</v>
      </c>
      <c r="E223" s="22" t="str">
        <f ca="1">IFERROR(__xludf.DUMMYFUNCTION("""COMPUTED_VALUE"""),"https://www.tiktok.com/@senhorlinguica?_t=ZM-8xfxh7dIww4&amp;_r=1")</f>
        <v>https://www.tiktok.com/@senhorlinguica?_t=ZM-8xfxh7dIww4&amp;_r=1</v>
      </c>
      <c r="F223" s="19">
        <f ca="1">IFERROR(__xludf.DUMMYFUNCTION("""COMPUTED_VALUE"""),31700)</f>
        <v>31700</v>
      </c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>
      <c r="A224" s="21">
        <f ca="1">IFERROR(__xludf.DUMMYFUNCTION("""COMPUTED_VALUE"""),269337304)</f>
        <v>269337304</v>
      </c>
      <c r="B224" s="19" t="str">
        <f ca="1">IFERROR(__xludf.DUMMYFUNCTION("""COMPUTED_VALUE"""),"giuliaxisto")</f>
        <v>giuliaxisto</v>
      </c>
      <c r="C224" s="22" t="str">
        <f ca="1">IFERROR(__xludf.DUMMYFUNCTION("""COMPUTED_VALUE"""),"www.instagram.com/amigacompra")</f>
        <v>www.instagram.com/amigacompra</v>
      </c>
      <c r="D224" s="19">
        <f ca="1">IFERROR(__xludf.DUMMYFUNCTION("""COMPUTED_VALUE"""),1000000)</f>
        <v>1000000</v>
      </c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>
      <c r="A225" s="21">
        <f ca="1">IFERROR(__xludf.DUMMYFUNCTION("""COMPUTED_VALUE"""),177778397)</f>
        <v>177778397</v>
      </c>
      <c r="B225" s="19" t="str">
        <f ca="1">IFERROR(__xludf.DUMMYFUNCTION("""COMPUTED_VALUE"""),"afiliadosml")</f>
        <v>afiliadosml</v>
      </c>
      <c r="C225" s="22" t="str">
        <f ca="1">IFERROR(__xludf.DUMMYFUNCTION("""COMPUTED_VALUE"""),"www.youtube.com/@blogdocafe")</f>
        <v>www.youtube.com/@blogdocafe</v>
      </c>
      <c r="D225" s="19">
        <f ca="1">IFERROR(__xludf.DUMMYFUNCTION("""COMPUTED_VALUE"""),3000)</f>
        <v>3000</v>
      </c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>
      <c r="A226" s="21">
        <f ca="1">IFERROR(__xludf.DUMMYFUNCTION("""COMPUTED_VALUE"""),1447393059)</f>
        <v>1447393059</v>
      </c>
      <c r="B226" s="19" t="str">
        <f ca="1">IFERROR(__xludf.DUMMYFUNCTION("""COMPUTED_VALUE"""),"rainha")</f>
        <v>rainha</v>
      </c>
      <c r="C226" s="22" t="str">
        <f ca="1">IFERROR(__xludf.DUMMYFUNCTION("""COMPUTED_VALUE"""),"https://www.instagram.com/arainhadaspromocoes")</f>
        <v>https://www.instagram.com/arainhadaspromocoes</v>
      </c>
      <c r="D226" s="19">
        <f ca="1">IFERROR(__xludf.DUMMYFUNCTION("""COMPUTED_VALUE"""),375000)</f>
        <v>375000</v>
      </c>
      <c r="E226" s="22" t="str">
        <f ca="1">IFERROR(__xludf.DUMMYFUNCTION("""COMPUTED_VALUE"""),"https://www.tiktok.com/@arainhadaspromocoes")</f>
        <v>https://www.tiktok.com/@arainhadaspromocoes</v>
      </c>
      <c r="F226" s="19">
        <f ca="1">IFERROR(__xludf.DUMMYFUNCTION("""COMPUTED_VALUE"""),3700)</f>
        <v>3700</v>
      </c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>
      <c r="A227" s="21">
        <f ca="1">IFERROR(__xludf.DUMMYFUNCTION("""COMPUTED_VALUE"""),241645688)</f>
        <v>241645688</v>
      </c>
      <c r="B227" s="19" t="str">
        <f ca="1">IFERROR(__xludf.DUMMYFUNCTION("""COMPUTED_VALUE"""),"canaldigplay")</f>
        <v>canaldigplay</v>
      </c>
      <c r="C227" s="22" t="str">
        <f ca="1">IFERROR(__xludf.DUMMYFUNCTION("""COMPUTED_VALUE"""),"https://www.instagram.com/canaldigplay/")</f>
        <v>https://www.instagram.com/canaldigplay/</v>
      </c>
      <c r="D227" s="19">
        <f ca="1">IFERROR(__xludf.DUMMYFUNCTION("""COMPUTED_VALUE"""),24700)</f>
        <v>24700</v>
      </c>
      <c r="E227" s="22" t="str">
        <f ca="1">IFERROR(__xludf.DUMMYFUNCTION("""COMPUTED_VALUE"""),"https://www.tiktok.com/@digplay")</f>
        <v>https://www.tiktok.com/@digplay</v>
      </c>
      <c r="F227" s="19">
        <f ca="1">IFERROR(__xludf.DUMMYFUNCTION("""COMPUTED_VALUE"""),4500)</f>
        <v>4500</v>
      </c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>
      <c r="A228" s="21">
        <f ca="1">IFERROR(__xludf.DUMMYFUNCTION("""COMPUTED_VALUE"""),187270170)</f>
        <v>187270170</v>
      </c>
      <c r="B228" s="19" t="str">
        <f ca="1">IFERROR(__xludf.DUMMYFUNCTION("""COMPUTED_VALUE"""),"topofertas")</f>
        <v>topofertas</v>
      </c>
      <c r="C228" s="22" t="str">
        <f ca="1">IFERROR(__xludf.DUMMYFUNCTION("""COMPUTED_VALUE"""),"https://www.instagram.com/top_ofertas4?igsh=dWphYzliempram40")</f>
        <v>https://www.instagram.com/top_ofertas4?igsh=dWphYzliempram40</v>
      </c>
      <c r="D228" s="19">
        <f ca="1">IFERROR(__xludf.DUMMYFUNCTION("""COMPUTED_VALUE"""),50000)</f>
        <v>50000</v>
      </c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>
      <c r="A229" s="21">
        <f ca="1">IFERROR(__xludf.DUMMYFUNCTION("""COMPUTED_VALUE"""),74339904)</f>
        <v>74339904</v>
      </c>
      <c r="B229" s="19" t="str">
        <f ca="1">IFERROR(__xludf.DUMMYFUNCTION("""COMPUTED_VALUE"""),"empoderado")</f>
        <v>empoderado</v>
      </c>
      <c r="C229" s="22" t="str">
        <f ca="1">IFERROR(__xludf.DUMMYFUNCTION("""COMPUTED_VALUE"""),"https://www.instagram.com/willsabarreto?igsh=MWdvZnd0b3ZtcnBhaw%3D%3D&amp;utm_source=qr")</f>
        <v>https://www.instagram.com/willsabarreto?igsh=MWdvZnd0b3ZtcnBhaw%3D%3D&amp;utm_source=qr</v>
      </c>
      <c r="D229" s="19">
        <f ca="1">IFERROR(__xludf.DUMMYFUNCTION("""COMPUTED_VALUE"""),210000)</f>
        <v>210000</v>
      </c>
      <c r="E229" s="22" t="str">
        <f ca="1">IFERROR(__xludf.DUMMYFUNCTION("""COMPUTED_VALUE"""),"https://www.tiktok.com/@will.sabarreto?_t=ZM-8ydNVvl0XuK&amp;_r=1")</f>
        <v>https://www.tiktok.com/@will.sabarreto?_t=ZM-8ydNVvl0XuK&amp;_r=1</v>
      </c>
      <c r="F229" s="19">
        <f ca="1">IFERROR(__xludf.DUMMYFUNCTION("""COMPUTED_VALUE"""),440000)</f>
        <v>440000</v>
      </c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>
      <c r="A230" s="21">
        <f ca="1">IFERROR(__xludf.DUMMYFUNCTION("""COMPUTED_VALUE"""),1462250546)</f>
        <v>1462250546</v>
      </c>
      <c r="B230" s="19" t="str">
        <f ca="1">IFERROR(__xludf.DUMMYFUNCTION("""COMPUTED_VALUE"""),"topofertasbabykids")</f>
        <v>topofertasbabykids</v>
      </c>
      <c r="C230" s="22" t="str">
        <f ca="1">IFERROR(__xludf.DUMMYFUNCTION("""COMPUTED_VALUE"""),"https://www.instagram.com/topofertasbabykids/")</f>
        <v>https://www.instagram.com/topofertasbabykids/</v>
      </c>
      <c r="D230" s="19">
        <f ca="1">IFERROR(__xludf.DUMMYFUNCTION("""COMPUTED_VALUE"""),561000)</f>
        <v>561000</v>
      </c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>
      <c r="A231" s="21">
        <f ca="1">IFERROR(__xludf.DUMMYFUNCTION("""COMPUTED_VALUE"""),1433012143)</f>
        <v>1433012143</v>
      </c>
      <c r="B231" s="19" t="str">
        <f ca="1">IFERROR(__xludf.DUMMYFUNCTION("""COMPUTED_VALUE"""),"quecriativo")</f>
        <v>quecriativo</v>
      </c>
      <c r="C231" s="19" t="str">
        <f ca="1">IFERROR(__xludf.DUMMYFUNCTION("""COMPUTED_VALUE"""),"")</f>
        <v/>
      </c>
      <c r="D231" s="19" t="str">
        <f ca="1">IFERROR(__xludf.DUMMYFUNCTION("""COMPUTED_VALUE"""),"")</f>
        <v/>
      </c>
      <c r="E231" s="19" t="str">
        <f ca="1">IFERROR(__xludf.DUMMYFUNCTION("""COMPUTED_VALUE"""),"")</f>
        <v/>
      </c>
      <c r="F231" s="19" t="str">
        <f ca="1">IFERROR(__xludf.DUMMYFUNCTION("""COMPUTED_VALUE"""),"")</f>
        <v/>
      </c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>
      <c r="A232" s="21">
        <f ca="1">IFERROR(__xludf.DUMMYFUNCTION("""COMPUTED_VALUE"""),1936498525)</f>
        <v>1936498525</v>
      </c>
      <c r="B232" s="19" t="str">
        <f ca="1">IFERROR(__xludf.DUMMYFUNCTION("""COMPUTED_VALUE"""),"gabindica")</f>
        <v>gabindica</v>
      </c>
      <c r="C232" s="22" t="str">
        <f ca="1">IFERROR(__xludf.DUMMYFUNCTION("""COMPUTED_VALUE"""),"https://www.instagram.com/gabpromo_?igsh=MWZobTdzc3RtazB4Yg==")</f>
        <v>https://www.instagram.com/gabpromo_?igsh=MWZobTdzc3RtazB4Yg==</v>
      </c>
      <c r="D232" s="19">
        <f ca="1">IFERROR(__xludf.DUMMYFUNCTION("""COMPUTED_VALUE"""),9353)</f>
        <v>9353</v>
      </c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>
      <c r="A233" s="21">
        <f ca="1">IFERROR(__xludf.DUMMYFUNCTION("""COMPUTED_VALUE"""),238429732)</f>
        <v>238429732</v>
      </c>
      <c r="B233" s="19" t="str">
        <f ca="1">IFERROR(__xludf.DUMMYFUNCTION("""COMPUTED_VALUE"""),"eumathvsl")</f>
        <v>eumathvsl</v>
      </c>
      <c r="C233" s="22" t="str">
        <f ca="1">IFERROR(__xludf.DUMMYFUNCTION("""COMPUTED_VALUE"""),"https://www.instagram.com/mathvsl")</f>
        <v>https://www.instagram.com/mathvsl</v>
      </c>
      <c r="D233" s="19">
        <f ca="1">IFERROR(__xludf.DUMMYFUNCTION("""COMPUTED_VALUE"""),55100)</f>
        <v>55100</v>
      </c>
      <c r="E233" s="22" t="str">
        <f ca="1">IFERROR(__xludf.DUMMYFUNCTION("""COMPUTED_VALUE"""),"https://www.tiktok.com/@mathvsl")</f>
        <v>https://www.tiktok.com/@mathvsl</v>
      </c>
      <c r="F233" s="19">
        <f ca="1">IFERROR(__xludf.DUMMYFUNCTION("""COMPUTED_VALUE"""),218800)</f>
        <v>218800</v>
      </c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>
      <c r="A234" s="21">
        <f ca="1">IFERROR(__xludf.DUMMYFUNCTION("""COMPUTED_VALUE"""),2378704472)</f>
        <v>2378704472</v>
      </c>
      <c r="B234" s="19" t="str">
        <f ca="1">IFERROR(__xludf.DUMMYFUNCTION("""COMPUTED_VALUE"""),"resenhasdoheitor")</f>
        <v>resenhasdoheitor</v>
      </c>
      <c r="C234" s="19" t="str">
        <f ca="1">IFERROR(__xludf.DUMMYFUNCTION("""COMPUTED_VALUE"""),"")</f>
        <v/>
      </c>
      <c r="D234" s="19" t="str">
        <f ca="1">IFERROR(__xludf.DUMMYFUNCTION("""COMPUTED_VALUE"""),"")</f>
        <v/>
      </c>
      <c r="E234" s="19" t="str">
        <f ca="1">IFERROR(__xludf.DUMMYFUNCTION("""COMPUTED_VALUE"""),"")</f>
        <v/>
      </c>
      <c r="F234" s="19" t="str">
        <f ca="1">IFERROR(__xludf.DUMMYFUNCTION("""COMPUTED_VALUE"""),"")</f>
        <v/>
      </c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>
      <c r="A235" s="21">
        <f ca="1">IFERROR(__xludf.DUMMYFUNCTION("""COMPUTED_VALUE"""),643684687)</f>
        <v>643684687</v>
      </c>
      <c r="B235" s="19" t="str">
        <f ca="1">IFERROR(__xludf.DUMMYFUNCTION("""COMPUTED_VALUE"""),"bigpromos")</f>
        <v>bigpromos</v>
      </c>
      <c r="C235" s="19" t="str">
        <f ca="1">IFERROR(__xludf.DUMMYFUNCTION("""COMPUTED_VALUE"""),"")</f>
        <v/>
      </c>
      <c r="D235" s="19" t="str">
        <f ca="1">IFERROR(__xludf.DUMMYFUNCTION("""COMPUTED_VALUE"""),"")</f>
        <v/>
      </c>
      <c r="E235" s="19" t="str">
        <f ca="1">IFERROR(__xludf.DUMMYFUNCTION("""COMPUTED_VALUE"""),"")</f>
        <v/>
      </c>
      <c r="F235" s="19" t="str">
        <f ca="1">IFERROR(__xludf.DUMMYFUNCTION("""COMPUTED_VALUE"""),"")</f>
        <v/>
      </c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>
      <c r="A236" s="21">
        <f ca="1">IFERROR(__xludf.DUMMYFUNCTION("""COMPUTED_VALUE"""),512433941)</f>
        <v>512433941</v>
      </c>
      <c r="B236" s="19" t="str">
        <f ca="1">IFERROR(__xludf.DUMMYFUNCTION("""COMPUTED_VALUE"""),"mundomi")</f>
        <v>mundomi</v>
      </c>
      <c r="C236" s="19" t="str">
        <f ca="1">IFERROR(__xludf.DUMMYFUNCTION("""COMPUTED_VALUE"""),"https://topbusca.com.br/ - https://mundomi.com.br/")</f>
        <v>https://topbusca.com.br/ - https://mundomi.com.br/</v>
      </c>
      <c r="D236" s="19">
        <f ca="1">IFERROR(__xludf.DUMMYFUNCTION("""COMPUTED_VALUE"""),0)</f>
        <v>0</v>
      </c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>
      <c r="A237" s="21">
        <f ca="1">IFERROR(__xludf.DUMMYFUNCTION("""COMPUTED_VALUE"""),1110297688)</f>
        <v>1110297688</v>
      </c>
      <c r="B237" s="19" t="str">
        <f ca="1">IFERROR(__xludf.DUMMYFUNCTION("""COMPUTED_VALUE"""),"setuphumilde")</f>
        <v>setuphumilde</v>
      </c>
      <c r="C237" s="19" t="str">
        <f ca="1">IFERROR(__xludf.DUMMYFUNCTION("""COMPUTED_VALUE"""),"")</f>
        <v/>
      </c>
      <c r="D237" s="19" t="str">
        <f ca="1">IFERROR(__xludf.DUMMYFUNCTION("""COMPUTED_VALUE"""),"")</f>
        <v/>
      </c>
      <c r="E237" s="19" t="str">
        <f ca="1">IFERROR(__xludf.DUMMYFUNCTION("""COMPUTED_VALUE"""),"")</f>
        <v/>
      </c>
      <c r="F237" s="19" t="str">
        <f ca="1">IFERROR(__xludf.DUMMYFUNCTION("""COMPUTED_VALUE"""),"")</f>
        <v/>
      </c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>
      <c r="A238" s="21">
        <f ca="1">IFERROR(__xludf.DUMMYFUNCTION("""COMPUTED_VALUE"""),192874049)</f>
        <v>192874049</v>
      </c>
      <c r="B238" s="19" t="str">
        <f ca="1">IFERROR(__xludf.DUMMYFUNCTION("""COMPUTED_VALUE"""),"guigatech")</f>
        <v>guigatech</v>
      </c>
      <c r="C238" s="22" t="str">
        <f ca="1">IFERROR(__xludf.DUMMYFUNCTION("""COMPUTED_VALUE"""),"https://www.instagram.com/guigagamesoficial/")</f>
        <v>https://www.instagram.com/guigagamesoficial/</v>
      </c>
      <c r="D238" s="19">
        <f ca="1">IFERROR(__xludf.DUMMYFUNCTION("""COMPUTED_VALUE"""),449)</f>
        <v>449</v>
      </c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>
      <c r="A239" s="21">
        <f ca="1">IFERROR(__xludf.DUMMYFUNCTION("""COMPUTED_VALUE"""),25086949)</f>
        <v>25086949</v>
      </c>
      <c r="B239" s="19" t="str">
        <f ca="1">IFERROR(__xludf.DUMMYFUNCTION("""COMPUTED_VALUE"""),"coringa_2010")</f>
        <v>coringa_2010</v>
      </c>
      <c r="C239" s="22" t="str">
        <f ca="1">IFERROR(__xludf.DUMMYFUNCTION("""COMPUTED_VALUE"""),"https://www.instagram.com/ape_j.c?igsh=aHhlYmR3MXhlYzRm&amp;utm_source=qr")</f>
        <v>https://www.instagram.com/ape_j.c?igsh=aHhlYmR3MXhlYzRm&amp;utm_source=qr</v>
      </c>
      <c r="D239" s="19">
        <f ca="1">IFERROR(__xludf.DUMMYFUNCTION("""COMPUTED_VALUE"""),59000)</f>
        <v>59000</v>
      </c>
      <c r="E239" s="22" t="str">
        <f ca="1">IFERROR(__xludf.DUMMYFUNCTION("""COMPUTED_VALUE"""),"https://www.tiktok.com/@ape_j.c?_t=ZM-8z1BpIEESt6&amp;_r=1")</f>
        <v>https://www.tiktok.com/@ape_j.c?_t=ZM-8z1BpIEESt6&amp;_r=1</v>
      </c>
      <c r="F239" s="19">
        <f ca="1">IFERROR(__xludf.DUMMYFUNCTION("""COMPUTED_VALUE"""),65000)</f>
        <v>65000</v>
      </c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>
      <c r="A240" s="21">
        <f ca="1">IFERROR(__xludf.DUMMYFUNCTION("""COMPUTED_VALUE"""),183440224)</f>
        <v>183440224</v>
      </c>
      <c r="B240" s="19" t="str">
        <f ca="1">IFERROR(__xludf.DUMMYFUNCTION("""COMPUTED_VALUE"""),"viciadosemdescontos")</f>
        <v>viciadosemdescontos</v>
      </c>
      <c r="C240" s="22" t="str">
        <f ca="1">IFERROR(__xludf.DUMMYFUNCTION("""COMPUTED_VALUE"""),"https://www.instagram.com/viciadopromocao")</f>
        <v>https://www.instagram.com/viciadopromocao</v>
      </c>
      <c r="D240" s="19">
        <f ca="1">IFERROR(__xludf.DUMMYFUNCTION("""COMPUTED_VALUE"""),5510)</f>
        <v>5510</v>
      </c>
      <c r="E240" s="22" t="str">
        <f ca="1">IFERROR(__xludf.DUMMYFUNCTION("""COMPUTED_VALUE"""),"https://www.tiktok.com/@viciadopromocao")</f>
        <v>https://www.tiktok.com/@viciadopromocao</v>
      </c>
      <c r="F240" s="19">
        <f ca="1">IFERROR(__xludf.DUMMYFUNCTION("""COMPUTED_VALUE"""),341)</f>
        <v>341</v>
      </c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>
      <c r="A241" s="21">
        <f ca="1">IFERROR(__xludf.DUMMYFUNCTION("""COMPUTED_VALUE"""),223065571)</f>
        <v>223065571</v>
      </c>
      <c r="B241" s="19" t="str">
        <f ca="1">IFERROR(__xludf.DUMMYFUNCTION("""COMPUTED_VALUE"""),"deivisonreis")</f>
        <v>deivisonreis</v>
      </c>
      <c r="C241" s="22" t="str">
        <f ca="1">IFERROR(__xludf.DUMMYFUNCTION("""COMPUTED_VALUE"""),"https://www.instagram.com/eu.deivisonreis/")</f>
        <v>https://www.instagram.com/eu.deivisonreis/</v>
      </c>
      <c r="D241" s="19">
        <f ca="1">IFERROR(__xludf.DUMMYFUNCTION("""COMPUTED_VALUE"""),841)</f>
        <v>841</v>
      </c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>
      <c r="A242" s="21">
        <f ca="1">IFERROR(__xludf.DUMMYFUNCTION("""COMPUTED_VALUE"""),211158953)</f>
        <v>211158953</v>
      </c>
      <c r="B242" s="19" t="str">
        <f ca="1">IFERROR(__xludf.DUMMYFUNCTION("""COMPUTED_VALUE"""),"bestpromosbr")</f>
        <v>bestpromosbr</v>
      </c>
      <c r="C242" s="22" t="str">
        <f ca="1">IFERROR(__xludf.DUMMYFUNCTION("""COMPUTED_VALUE"""),"https://www.instagram.com/bestpromosbrasil?igsh=ZHNxOTJldHd4b2E=")</f>
        <v>https://www.instagram.com/bestpromosbrasil?igsh=ZHNxOTJldHd4b2E=</v>
      </c>
      <c r="D242" s="19">
        <f ca="1">IFERROR(__xludf.DUMMYFUNCTION("""COMPUTED_VALUE"""),165)</f>
        <v>165</v>
      </c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>
      <c r="A243" s="21">
        <f ca="1">IFERROR(__xludf.DUMMYFUNCTION("""COMPUTED_VALUE"""),807123036)</f>
        <v>807123036</v>
      </c>
      <c r="B243" s="19" t="str">
        <f ca="1">IFERROR(__xludf.DUMMYFUNCTION("""COMPUTED_VALUE"""),"ofertastech26")</f>
        <v>ofertastech26</v>
      </c>
      <c r="C243" s="22" t="str">
        <f ca="1">IFERROR(__xludf.DUMMYFUNCTION("""COMPUTED_VALUE"""),"https://www.instagram.com/promolowcost/")</f>
        <v>https://www.instagram.com/promolowcost/</v>
      </c>
      <c r="D243" s="19">
        <f ca="1">IFERROR(__xludf.DUMMYFUNCTION("""COMPUTED_VALUE"""),5)</f>
        <v>5</v>
      </c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>
      <c r="A244" s="21">
        <f ca="1">IFERROR(__xludf.DUMMYFUNCTION("""COMPUTED_VALUE"""),1998255005)</f>
        <v>1998255005</v>
      </c>
      <c r="B244" s="19" t="str">
        <f ca="1">IFERROR(__xludf.DUMMYFUNCTION("""COMPUTED_VALUE"""),"achadasso")</f>
        <v>achadasso</v>
      </c>
      <c r="C244" s="19" t="str">
        <f ca="1">IFERROR(__xludf.DUMMYFUNCTION("""COMPUTED_VALUE"""),"")</f>
        <v/>
      </c>
      <c r="D244" s="19" t="str">
        <f ca="1">IFERROR(__xludf.DUMMYFUNCTION("""COMPUTED_VALUE"""),"")</f>
        <v/>
      </c>
      <c r="E244" s="19" t="str">
        <f ca="1">IFERROR(__xludf.DUMMYFUNCTION("""COMPUTED_VALUE"""),"")</f>
        <v/>
      </c>
      <c r="F244" s="19" t="str">
        <f ca="1">IFERROR(__xludf.DUMMYFUNCTION("""COMPUTED_VALUE"""),"")</f>
        <v/>
      </c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>
      <c r="A245" s="21">
        <f ca="1">IFERROR(__xludf.DUMMYFUNCTION("""COMPUTED_VALUE"""),1326519654)</f>
        <v>1326519654</v>
      </c>
      <c r="B245" s="19" t="str">
        <f ca="1">IFERROR(__xludf.DUMMYFUNCTION("""COMPUTED_VALUE"""),"meupcnet")</f>
        <v>meupcnet</v>
      </c>
      <c r="C245" s="22" t="str">
        <f ca="1">IFERROR(__xludf.DUMMYFUNCTION("""COMPUTED_VALUE"""),"https://www.instagram.com/meupcnet/")</f>
        <v>https://www.instagram.com/meupcnet/</v>
      </c>
      <c r="D245" s="19">
        <f ca="1">IFERROR(__xludf.DUMMYFUNCTION("""COMPUTED_VALUE"""),839)</f>
        <v>839</v>
      </c>
      <c r="E245" s="22" t="str">
        <f ca="1">IFERROR(__xludf.DUMMYFUNCTION("""COMPUTED_VALUE"""),"https://www.tiktok.com/@meupcnet")</f>
        <v>https://www.tiktok.com/@meupcnet</v>
      </c>
      <c r="F245" s="19">
        <f ca="1">IFERROR(__xludf.DUMMYFUNCTION("""COMPUTED_VALUE"""),1600)</f>
        <v>1600</v>
      </c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>
      <c r="A246" s="21">
        <f ca="1">IFERROR(__xludf.DUMMYFUNCTION("""COMPUTED_VALUE"""),1389194151)</f>
        <v>1389194151</v>
      </c>
      <c r="B246" s="19" t="str">
        <f ca="1">IFERROR(__xludf.DUMMYFUNCTION("""COMPUTED_VALUE"""),"iurindica")</f>
        <v>iurindica</v>
      </c>
      <c r="C246" s="22" t="str">
        <f ca="1">IFERROR(__xludf.DUMMYFUNCTION("""COMPUTED_VALUE"""),"https://www.instagram.com/iuriindica")</f>
        <v>https://www.instagram.com/iuriindica</v>
      </c>
      <c r="D246" s="19">
        <f ca="1">IFERROR(__xludf.DUMMYFUNCTION("""COMPUTED_VALUE"""),28000)</f>
        <v>28000</v>
      </c>
      <c r="E246" s="22" t="str">
        <f ca="1">IFERROR(__xludf.DUMMYFUNCTION("""COMPUTED_VALUE"""),"https://www.tiktok.com/@iuriindica")</f>
        <v>https://www.tiktok.com/@iuriindica</v>
      </c>
      <c r="F246" s="19">
        <f ca="1">IFERROR(__xludf.DUMMYFUNCTION("""COMPUTED_VALUE"""),4000)</f>
        <v>4000</v>
      </c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>
      <c r="A247" s="21">
        <f ca="1">IFERROR(__xludf.DUMMYFUNCTION("""COMPUTED_VALUE"""),53501280)</f>
        <v>53501280</v>
      </c>
      <c r="B247" s="19" t="str">
        <f ca="1">IFERROR(__xludf.DUMMYFUNCTION("""COMPUTED_VALUE"""),"promodescontocupons")</f>
        <v>promodescontocupons</v>
      </c>
      <c r="C247" s="22" t="str">
        <f ca="1">IFERROR(__xludf.DUMMYFUNCTION("""COMPUTED_VALUE"""),"https://www.instagram.com/promodescontocupons/")</f>
        <v>https://www.instagram.com/promodescontocupons/</v>
      </c>
      <c r="D247" s="19">
        <f ca="1">IFERROR(__xludf.DUMMYFUNCTION("""COMPUTED_VALUE"""),987)</f>
        <v>987</v>
      </c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>
      <c r="A248" s="21">
        <f ca="1">IFERROR(__xludf.DUMMYFUNCTION("""COMPUTED_VALUE"""),1497771941)</f>
        <v>1497771941</v>
      </c>
      <c r="B248" s="19" t="str">
        <f ca="1">IFERROR(__xludf.DUMMYFUNCTION("""COMPUTED_VALUE"""),"ofertaesperta")</f>
        <v>ofertaesperta</v>
      </c>
      <c r="C248" s="22" t="str">
        <f ca="1">IFERROR(__xludf.DUMMYFUNCTION("""COMPUTED_VALUE"""),"www.ofertaesperta.com")</f>
        <v>www.ofertaesperta.com</v>
      </c>
      <c r="D248" s="19">
        <f ca="1">IFERROR(__xludf.DUMMYFUNCTION("""COMPUTED_VALUE"""),0)</f>
        <v>0</v>
      </c>
      <c r="E248" s="22" t="str">
        <f ca="1">IFERROR(__xludf.DUMMYFUNCTION("""COMPUTED_VALUE"""),"www.ofertaesperta.com")</f>
        <v>www.ofertaesperta.com</v>
      </c>
      <c r="F248" s="19">
        <f ca="1">IFERROR(__xludf.DUMMYFUNCTION("""COMPUTED_VALUE"""),0)</f>
        <v>0</v>
      </c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>
      <c r="A249" s="21">
        <f ca="1">IFERROR(__xludf.DUMMYFUNCTION("""COMPUTED_VALUE"""),107916024)</f>
        <v>107916024</v>
      </c>
      <c r="B249" s="19" t="str">
        <f ca="1">IFERROR(__xludf.DUMMYFUNCTION("""COMPUTED_VALUE"""),"jorditech")</f>
        <v>jorditech</v>
      </c>
      <c r="C249" s="22" t="str">
        <f ca="1">IFERROR(__xludf.DUMMYFUNCTION("""COMPUTED_VALUE"""),"https://www.instagram.com/jordi.tech/")</f>
        <v>https://www.instagram.com/jordi.tech/</v>
      </c>
      <c r="D249" s="19">
        <f ca="1">IFERROR(__xludf.DUMMYFUNCTION("""COMPUTED_VALUE"""),33400)</f>
        <v>33400</v>
      </c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>
      <c r="A250" s="21">
        <f ca="1">IFERROR(__xludf.DUMMYFUNCTION("""COMPUTED_VALUE"""),2086780678)</f>
        <v>2086780678</v>
      </c>
      <c r="B250" s="19" t="str">
        <f ca="1">IFERROR(__xludf.DUMMYFUNCTION("""COMPUTED_VALUE"""),"dicasja")</f>
        <v>dicasja</v>
      </c>
      <c r="C250" s="22" t="str">
        <f ca="1">IFERROR(__xludf.DUMMYFUNCTION("""COMPUTED_VALUE"""),"https://www.instagram.com/droneander/")</f>
        <v>https://www.instagram.com/droneander/</v>
      </c>
      <c r="D250" s="19">
        <f ca="1">IFERROR(__xludf.DUMMYFUNCTION("""COMPUTED_VALUE"""),580)</f>
        <v>580</v>
      </c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>
      <c r="A251" s="21">
        <f ca="1">IFERROR(__xludf.DUMMYFUNCTION("""COMPUTED_VALUE"""),1485911737)</f>
        <v>1485911737</v>
      </c>
      <c r="B251" s="19" t="str">
        <f ca="1">IFERROR(__xludf.DUMMYFUNCTION("""COMPUTED_VALUE"""),"tecnoinfo")</f>
        <v>tecnoinfo</v>
      </c>
      <c r="C251" s="22" t="str">
        <f ca="1">IFERROR(__xludf.DUMMYFUNCTION("""COMPUTED_VALUE"""),"https://www.instagram.com/tecnoinffo?igsh=MWoxNDl2aHoyaXZrbA%3D%3D&amp;utm_source=qr")</f>
        <v>https://www.instagram.com/tecnoinffo?igsh=MWoxNDl2aHoyaXZrbA%3D%3D&amp;utm_source=qr</v>
      </c>
      <c r="D251" s="19">
        <f ca="1">IFERROR(__xludf.DUMMYFUNCTION("""COMPUTED_VALUE"""),43000)</f>
        <v>43000</v>
      </c>
      <c r="E251" s="22" t="str">
        <f ca="1">IFERROR(__xludf.DUMMYFUNCTION("""COMPUTED_VALUE"""),"https://www.tiktok.com/@tecnoinfo_?_t=ZM-8xgEtE2UKdK&amp;_r=1")</f>
        <v>https://www.tiktok.com/@tecnoinfo_?_t=ZM-8xgEtE2UKdK&amp;_r=1</v>
      </c>
      <c r="F251" s="19">
        <f ca="1">IFERROR(__xludf.DUMMYFUNCTION("""COMPUTED_VALUE"""),48000)</f>
        <v>48000</v>
      </c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>
      <c r="A252" s="21">
        <f ca="1">IFERROR(__xludf.DUMMYFUNCTION("""COMPUTED_VALUE"""),156249774)</f>
        <v>156249774</v>
      </c>
      <c r="B252" s="19" t="str">
        <f ca="1">IFERROR(__xludf.DUMMYFUNCTION("""COMPUTED_VALUE"""),"comprafacilesegura")</f>
        <v>comprafacilesegura</v>
      </c>
      <c r="C252" s="22" t="str">
        <f ca="1">IFERROR(__xludf.DUMMYFUNCTION("""COMPUTED_VALUE"""),"https://www.instagram.com/julyannepontes?igsh=aHRlamh1NXVicmw%3D&amp;utm_source=qr")</f>
        <v>https://www.instagram.com/julyannepontes?igsh=aHRlamh1NXVicmw%3D&amp;utm_source=qr</v>
      </c>
      <c r="D252" s="19">
        <f ca="1">IFERROR(__xludf.DUMMYFUNCTION("""COMPUTED_VALUE"""),870)</f>
        <v>870</v>
      </c>
      <c r="E252" s="22" t="str">
        <f ca="1">IFERROR(__xludf.DUMMYFUNCTION("""COMPUTED_VALUE"""),"https://www.tiktok.com/@julyannepontes?is_from_webapp=1&amp;sender_device=pc")</f>
        <v>https://www.tiktok.com/@julyannepontes?is_from_webapp=1&amp;sender_device=pc</v>
      </c>
      <c r="F252" s="19">
        <f ca="1">IFERROR(__xludf.DUMMYFUNCTION("""COMPUTED_VALUE"""),16)</f>
        <v>16</v>
      </c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>
      <c r="A253" s="21">
        <f ca="1">IFERROR(__xludf.DUMMYFUNCTION("""COMPUTED_VALUE"""),1381562962)</f>
        <v>1381562962</v>
      </c>
      <c r="B253" s="19" t="str">
        <f ca="1">IFERROR(__xludf.DUMMYFUNCTION("""COMPUTED_VALUE"""),"familiavale")</f>
        <v>familiavale</v>
      </c>
      <c r="C253" s="22" t="str">
        <f ca="1">IFERROR(__xludf.DUMMYFUNCTION("""COMPUTED_VALUE"""),"https://www.instagram.com/rochahardtec?igsh=MXUwcGk2dzY2dG1vdg==")</f>
        <v>https://www.instagram.com/rochahardtec?igsh=MXUwcGk2dzY2dG1vdg==</v>
      </c>
      <c r="D253" s="19">
        <f ca="1">IFERROR(__xludf.DUMMYFUNCTION("""COMPUTED_VALUE"""),12500)</f>
        <v>12500</v>
      </c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>
      <c r="A254" s="21">
        <f ca="1">IFERROR(__xludf.DUMMYFUNCTION("""COMPUTED_VALUE"""),1131148365)</f>
        <v>1131148365</v>
      </c>
      <c r="B254" s="19" t="str">
        <f ca="1">IFERROR(__xludf.DUMMYFUNCTION("""COMPUTED_VALUE"""),"marianaaraujopedroni")</f>
        <v>marianaaraujopedroni</v>
      </c>
      <c r="C254" s="22" t="str">
        <f ca="1">IFERROR(__xludf.DUMMYFUNCTION("""COMPUTED_VALUE"""),"https://www.instagram.com/descomplicabeleza/")</f>
        <v>https://www.instagram.com/descomplicabeleza/</v>
      </c>
      <c r="D254" s="19">
        <f ca="1">IFERROR(__xludf.DUMMYFUNCTION("""COMPUTED_VALUE"""),212000)</f>
        <v>212000</v>
      </c>
      <c r="E254" s="22" t="str">
        <f ca="1">IFERROR(__xludf.DUMMYFUNCTION("""COMPUTED_VALUE"""),"https://www.tiktok.com/@dicasdemari?_t=ZM-8xihsTwCav7&amp;_r=1")</f>
        <v>https://www.tiktok.com/@dicasdemari?_t=ZM-8xihsTwCav7&amp;_r=1</v>
      </c>
      <c r="F254" s="19">
        <f ca="1">IFERROR(__xludf.DUMMYFUNCTION("""COMPUTED_VALUE"""),30700)</f>
        <v>30700</v>
      </c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>
      <c r="A255" s="21">
        <f ca="1">IFERROR(__xludf.DUMMYFUNCTION("""COMPUTED_VALUE"""),1263659690)</f>
        <v>1263659690</v>
      </c>
      <c r="B255" s="19" t="str">
        <f ca="1">IFERROR(__xludf.DUMMYFUNCTION("""COMPUTED_VALUE"""),"gabrieldepinho")</f>
        <v>gabrieldepinho</v>
      </c>
      <c r="C255" s="19" t="str">
        <f ca="1">IFERROR(__xludf.DUMMYFUNCTION("""COMPUTED_VALUE"""),"")</f>
        <v/>
      </c>
      <c r="D255" s="19" t="str">
        <f ca="1">IFERROR(__xludf.DUMMYFUNCTION("""COMPUTED_VALUE"""),"")</f>
        <v/>
      </c>
      <c r="E255" s="19" t="str">
        <f ca="1">IFERROR(__xludf.DUMMYFUNCTION("""COMPUTED_VALUE"""),"")</f>
        <v/>
      </c>
      <c r="F255" s="19" t="str">
        <f ca="1">IFERROR(__xludf.DUMMYFUNCTION("""COMPUTED_VALUE"""),"")</f>
        <v/>
      </c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>
      <c r="A256" s="21">
        <f ca="1">IFERROR(__xludf.DUMMYFUNCTION("""COMPUTED_VALUE"""),1441074384)</f>
        <v>1441074384</v>
      </c>
      <c r="B256" s="19" t="str">
        <f ca="1">IFERROR(__xludf.DUMMYFUNCTION("""COMPUTED_VALUE"""),"sdmlinks")</f>
        <v>sdmlinks</v>
      </c>
      <c r="C256" s="22" t="str">
        <f ca="1">IFERROR(__xludf.DUMMYFUNCTION("""COMPUTED_VALUE"""),"https://instagram.com/sdmlinks")</f>
        <v>https://instagram.com/sdmlinks</v>
      </c>
      <c r="D256" s="19">
        <f ca="1">IFERROR(__xludf.DUMMYFUNCTION("""COMPUTED_VALUE"""),125000)</f>
        <v>125000</v>
      </c>
      <c r="E256" s="22" t="str">
        <f ca="1">IFERROR(__xludf.DUMMYFUNCTION("""COMPUTED_VALUE"""),"https://tiktok.com/@sdmlinks")</f>
        <v>https://tiktok.com/@sdmlinks</v>
      </c>
      <c r="F256" s="19">
        <f ca="1">IFERROR(__xludf.DUMMYFUNCTION("""COMPUTED_VALUE"""),30000)</f>
        <v>30000</v>
      </c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>
      <c r="A257" s="21">
        <f ca="1">IFERROR(__xludf.DUMMYFUNCTION("""COMPUTED_VALUE"""),126659569)</f>
        <v>126659569</v>
      </c>
      <c r="B257" s="19" t="str">
        <f ca="1">IFERROR(__xludf.DUMMYFUNCTION("""COMPUTED_VALUE"""),"larimarcioliver")</f>
        <v>larimarcioliver</v>
      </c>
      <c r="C257" s="22" t="str">
        <f ca="1">IFERROR(__xludf.DUMMYFUNCTION("""COMPUTED_VALUE"""),"instagram.com/promosdamarcioliver")</f>
        <v>instagram.com/promosdamarcioliver</v>
      </c>
      <c r="D257" s="19">
        <f ca="1">IFERROR(__xludf.DUMMYFUNCTION("""COMPUTED_VALUE"""),31400)</f>
        <v>31400</v>
      </c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>
      <c r="A258" s="21">
        <f ca="1">IFERROR(__xludf.DUMMYFUNCTION("""COMPUTED_VALUE"""),2066492086)</f>
        <v>2066492086</v>
      </c>
      <c r="B258" s="19" t="str">
        <f ca="1">IFERROR(__xludf.DUMMYFUNCTION("""COMPUTED_VALUE"""),"achadinhosdaloe")</f>
        <v>achadinhosdaloe</v>
      </c>
      <c r="C258" s="22" t="str">
        <f ca="1">IFERROR(__xludf.DUMMYFUNCTION("""COMPUTED_VALUE"""),"www.instagram.com/suaoracao/")</f>
        <v>www.instagram.com/suaoracao/</v>
      </c>
      <c r="D258" s="19">
        <f ca="1">IFERROR(__xludf.DUMMYFUNCTION("""COMPUTED_VALUE"""),544000)</f>
        <v>544000</v>
      </c>
      <c r="E258" s="22" t="str">
        <f ca="1">IFERROR(__xludf.DUMMYFUNCTION("""COMPUTED_VALUE"""),"https://sndflw.com/i/whatsapp")</f>
        <v>https://sndflw.com/i/whatsapp</v>
      </c>
      <c r="F258" s="19">
        <f ca="1">IFERROR(__xludf.DUMMYFUNCTION("""COMPUTED_VALUE"""),23000)</f>
        <v>23000</v>
      </c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>
      <c r="A259" s="21">
        <f ca="1">IFERROR(__xludf.DUMMYFUNCTION("""COMPUTED_VALUE"""),2296180240)</f>
        <v>2296180240</v>
      </c>
      <c r="B259" s="19" t="str">
        <f ca="1">IFERROR(__xludf.DUMMYFUNCTION("""COMPUTED_VALUE"""),"maiskibaratoo")</f>
        <v>maiskibaratoo</v>
      </c>
      <c r="C259" s="19" t="str">
        <f ca="1">IFERROR(__xludf.DUMMYFUNCTION("""COMPUTED_VALUE"""),"")</f>
        <v/>
      </c>
      <c r="D259" s="19" t="str">
        <f ca="1">IFERROR(__xludf.DUMMYFUNCTION("""COMPUTED_VALUE"""),"")</f>
        <v/>
      </c>
      <c r="E259" s="19" t="str">
        <f ca="1">IFERROR(__xludf.DUMMYFUNCTION("""COMPUTED_VALUE"""),"")</f>
        <v/>
      </c>
      <c r="F259" s="19" t="str">
        <f ca="1">IFERROR(__xludf.DUMMYFUNCTION("""COMPUTED_VALUE"""),"")</f>
        <v/>
      </c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>
      <c r="A260" s="21">
        <f ca="1">IFERROR(__xludf.DUMMYFUNCTION("""COMPUTED_VALUE"""),217049100)</f>
        <v>217049100</v>
      </c>
      <c r="B260" s="19" t="str">
        <f ca="1">IFERROR(__xludf.DUMMYFUNCTION("""COMPUTED_VALUE"""),"nehe9072310")</f>
        <v>nehe9072310</v>
      </c>
      <c r="C260" s="19" t="str">
        <f ca="1">IFERROR(__xludf.DUMMYFUNCTION("""COMPUTED_VALUE"""),"")</f>
        <v/>
      </c>
      <c r="D260" s="19" t="str">
        <f ca="1">IFERROR(__xludf.DUMMYFUNCTION("""COMPUTED_VALUE"""),"")</f>
        <v/>
      </c>
      <c r="E260" s="19" t="str">
        <f ca="1">IFERROR(__xludf.DUMMYFUNCTION("""COMPUTED_VALUE"""),"")</f>
        <v/>
      </c>
      <c r="F260" s="19" t="str">
        <f ca="1">IFERROR(__xludf.DUMMYFUNCTION("""COMPUTED_VALUE"""),"")</f>
        <v/>
      </c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>
      <c r="A261" s="21">
        <f ca="1">IFERROR(__xludf.DUMMYFUNCTION("""COMPUTED_VALUE"""),256041945)</f>
        <v>256041945</v>
      </c>
      <c r="B261" s="19" t="str">
        <f ca="1">IFERROR(__xludf.DUMMYFUNCTION("""COMPUTED_VALUE"""),"infobrpromos")</f>
        <v>infobrpromos</v>
      </c>
      <c r="C261" s="22" t="str">
        <f ca="1">IFERROR(__xludf.DUMMYFUNCTION("""COMPUTED_VALUE"""),"https://www.instagram.com/infobrpromos/")</f>
        <v>https://www.instagram.com/infobrpromos/</v>
      </c>
      <c r="D261" s="19">
        <f ca="1">IFERROR(__xludf.DUMMYFUNCTION("""COMPUTED_VALUE"""),85)</f>
        <v>85</v>
      </c>
      <c r="E261" s="22" t="str">
        <f ca="1">IFERROR(__xludf.DUMMYFUNCTION("""COMPUTED_VALUE"""),"https://www.tiktok.com/@infobrpromos")</f>
        <v>https://www.tiktok.com/@infobrpromos</v>
      </c>
      <c r="F261" s="19">
        <f ca="1">IFERROR(__xludf.DUMMYFUNCTION("""COMPUTED_VALUE"""),2167)</f>
        <v>2167</v>
      </c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>
      <c r="A262" s="21">
        <f ca="1">IFERROR(__xludf.DUMMYFUNCTION("""COMPUTED_VALUE"""),79957918)</f>
        <v>79957918</v>
      </c>
      <c r="B262" s="19" t="str">
        <f ca="1">IFERROR(__xludf.DUMMYFUNCTION("""COMPUTED_VALUE"""),"dicasdospapais")</f>
        <v>dicasdospapais</v>
      </c>
      <c r="C262" s="22" t="str">
        <f ca="1">IFERROR(__xludf.DUMMYFUNCTION("""COMPUTED_VALUE"""),"https://www.instagram.com/dicasdospapais?igsh=MXNkODBndWJ0aDl4ZQ==")</f>
        <v>https://www.instagram.com/dicasdospapais?igsh=MXNkODBndWJ0aDl4ZQ==</v>
      </c>
      <c r="D262" s="19">
        <f ca="1">IFERROR(__xludf.DUMMYFUNCTION("""COMPUTED_VALUE"""),38000)</f>
        <v>38000</v>
      </c>
      <c r="E262" s="22" t="str">
        <f ca="1">IFERROR(__xludf.DUMMYFUNCTION("""COMPUTED_VALUE"""),"https://www.tiktok.com/@dicasdospapais")</f>
        <v>https://www.tiktok.com/@dicasdospapais</v>
      </c>
      <c r="F262" s="19">
        <f ca="1">IFERROR(__xludf.DUMMYFUNCTION("""COMPUTED_VALUE"""),18000)</f>
        <v>18000</v>
      </c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>
      <c r="A263" s="21">
        <f ca="1">IFERROR(__xludf.DUMMYFUNCTION("""COMPUTED_VALUE"""),1690741909)</f>
        <v>1690741909</v>
      </c>
      <c r="B263" s="19" t="str">
        <f ca="1">IFERROR(__xludf.DUMMYFUNCTION("""COMPUTED_VALUE"""),"perigodaspromo")</f>
        <v>perigodaspromo</v>
      </c>
      <c r="C263" s="22" t="str">
        <f ca="1">IFERROR(__xludf.DUMMYFUNCTION("""COMPUTED_VALUE"""),"https://www.instagram.com/perigodaspromos?igsh=bHVnYXhzejl0aDYz")</f>
        <v>https://www.instagram.com/perigodaspromos?igsh=bHVnYXhzejl0aDYz</v>
      </c>
      <c r="D263" s="19">
        <f ca="1">IFERROR(__xludf.DUMMYFUNCTION("""COMPUTED_VALUE"""),990)</f>
        <v>990</v>
      </c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>
      <c r="A264" s="21">
        <f ca="1">IFERROR(__xludf.DUMMYFUNCTION("""COMPUTED_VALUE"""),307934370)</f>
        <v>307934370</v>
      </c>
      <c r="B264" s="19" t="str">
        <f ca="1">IFERROR(__xludf.DUMMYFUNCTION("""COMPUTED_VALUE"""),"kleberkb")</f>
        <v>kleberkb</v>
      </c>
      <c r="C264" s="19" t="str">
        <f ca="1">IFERROR(__xludf.DUMMYFUNCTION("""COMPUTED_VALUE"""),"")</f>
        <v/>
      </c>
      <c r="D264" s="19" t="str">
        <f ca="1">IFERROR(__xludf.DUMMYFUNCTION("""COMPUTED_VALUE"""),"")</f>
        <v/>
      </c>
      <c r="E264" s="19" t="str">
        <f ca="1">IFERROR(__xludf.DUMMYFUNCTION("""COMPUTED_VALUE"""),"")</f>
        <v/>
      </c>
      <c r="F264" s="19" t="str">
        <f ca="1">IFERROR(__xludf.DUMMYFUNCTION("""COMPUTED_VALUE"""),"")</f>
        <v/>
      </c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>
      <c r="A265" s="21">
        <f ca="1">IFERROR(__xludf.DUMMYFUNCTION("""COMPUTED_VALUE"""),1463526269)</f>
        <v>1463526269</v>
      </c>
      <c r="B265" s="19" t="str">
        <f ca="1">IFERROR(__xludf.DUMMYFUNCTION("""COMPUTED_VALUE"""),"ofertando")</f>
        <v>ofertando</v>
      </c>
      <c r="C265" s="22" t="str">
        <f ca="1">IFERROR(__xludf.DUMMYFUNCTION("""COMPUTED_VALUE"""),"https://www.instagram.com/achadosrarosvip?igsh=NXd3NWM1c2JrZ3Aw")</f>
        <v>https://www.instagram.com/achadosrarosvip?igsh=NXd3NWM1c2JrZ3Aw</v>
      </c>
      <c r="D265" s="19">
        <f ca="1">IFERROR(__xludf.DUMMYFUNCTION("""COMPUTED_VALUE"""),369000)</f>
        <v>369000</v>
      </c>
      <c r="E265" s="22" t="str">
        <f ca="1">IFERROR(__xludf.DUMMYFUNCTION("""COMPUTED_VALUE"""),"https://www.tiktok.com/@sereianata?_t=ZM-8xi6XO8UgVC&amp;_r=1")</f>
        <v>https://www.tiktok.com/@sereianata?_t=ZM-8xi6XO8UgVC&amp;_r=1</v>
      </c>
      <c r="F265" s="19">
        <f ca="1">IFERROR(__xludf.DUMMYFUNCTION("""COMPUTED_VALUE"""),17000)</f>
        <v>17000</v>
      </c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>
      <c r="A266" s="21">
        <f ca="1">IFERROR(__xludf.DUMMYFUNCTION("""COMPUTED_VALUE"""),5441218)</f>
        <v>5441218</v>
      </c>
      <c r="B266" s="19" t="str">
        <f ca="1">IFERROR(__xludf.DUMMYFUNCTION("""COMPUTED_VALUE"""),"testesedicas")</f>
        <v>testesedicas</v>
      </c>
      <c r="C266" s="22" t="str">
        <f ca="1">IFERROR(__xludf.DUMMYFUNCTION("""COMPUTED_VALUE"""),"https://www.instagram.com/testesedicasdodiego/")</f>
        <v>https://www.instagram.com/testesedicasdodiego/</v>
      </c>
      <c r="D266" s="19">
        <f ca="1">IFERROR(__xludf.DUMMYFUNCTION("""COMPUTED_VALUE"""),25000)</f>
        <v>25000</v>
      </c>
      <c r="E266" s="22" t="str">
        <f ca="1">IFERROR(__xludf.DUMMYFUNCTION("""COMPUTED_VALUE"""),"https://www.tiktok.com/@testesedicas")</f>
        <v>https://www.tiktok.com/@testesedicas</v>
      </c>
      <c r="F266" s="19">
        <f ca="1">IFERROR(__xludf.DUMMYFUNCTION("""COMPUTED_VALUE"""),108000)</f>
        <v>108000</v>
      </c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>
      <c r="A267" s="21">
        <f ca="1">IFERROR(__xludf.DUMMYFUNCTION("""COMPUTED_VALUE"""),183084677)</f>
        <v>183084677</v>
      </c>
      <c r="B267" s="19" t="str">
        <f ca="1">IFERROR(__xludf.DUMMYFUNCTION("""COMPUTED_VALUE"""),"lippeofertas")</f>
        <v>lippeofertas</v>
      </c>
      <c r="C267" s="22" t="str">
        <f ca="1">IFERROR(__xludf.DUMMYFUNCTION("""COMPUTED_VALUE"""),"https://www.instagram.com/thpromos1/")</f>
        <v>https://www.instagram.com/thpromos1/</v>
      </c>
      <c r="D267" s="19">
        <f ca="1">IFERROR(__xludf.DUMMYFUNCTION("""COMPUTED_VALUE"""),122)</f>
        <v>122</v>
      </c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>
      <c r="A268" s="21">
        <f ca="1">IFERROR(__xludf.DUMMYFUNCTION("""COMPUTED_VALUE"""),51908994)</f>
        <v>51908994</v>
      </c>
      <c r="B268" s="19" t="str">
        <f ca="1">IFERROR(__xludf.DUMMYFUNCTION("""COMPUTED_VALUE"""),"jhonyalbanese")</f>
        <v>jhonyalbanese</v>
      </c>
      <c r="C268" s="22" t="str">
        <f ca="1">IFERROR(__xludf.DUMMYFUNCTION("""COMPUTED_VALUE"""),"https://www.instagram.com/fotodosfatos/")</f>
        <v>https://www.instagram.com/fotodosfatos/</v>
      </c>
      <c r="D268" s="19">
        <f ca="1">IFERROR(__xludf.DUMMYFUNCTION("""COMPUTED_VALUE"""),251000)</f>
        <v>251000</v>
      </c>
      <c r="E268" s="22" t="str">
        <f ca="1">IFERROR(__xludf.DUMMYFUNCTION("""COMPUTED_VALUE"""),"https://www.tiktok.com/@fotosdefatos")</f>
        <v>https://www.tiktok.com/@fotosdefatos</v>
      </c>
      <c r="F268" s="19">
        <f ca="1">IFERROR(__xludf.DUMMYFUNCTION("""COMPUTED_VALUE"""),778)</f>
        <v>778</v>
      </c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>
      <c r="A269" s="21">
        <f ca="1">IFERROR(__xludf.DUMMYFUNCTION("""COMPUTED_VALUE"""),83636235)</f>
        <v>83636235</v>
      </c>
      <c r="B269" s="19" t="str">
        <f ca="1">IFERROR(__xludf.DUMMYFUNCTION("""COMPUTED_VALUE"""),"promospravc")</f>
        <v>promospravc</v>
      </c>
      <c r="C269" s="19" t="str">
        <f ca="1">IFERROR(__xludf.DUMMYFUNCTION("""COMPUTED_VALUE"""),"")</f>
        <v/>
      </c>
      <c r="D269" s="19" t="str">
        <f ca="1">IFERROR(__xludf.DUMMYFUNCTION("""COMPUTED_VALUE"""),"")</f>
        <v/>
      </c>
      <c r="E269" s="19" t="str">
        <f ca="1">IFERROR(__xludf.DUMMYFUNCTION("""COMPUTED_VALUE"""),"")</f>
        <v/>
      </c>
      <c r="F269" s="19" t="str">
        <f ca="1">IFERROR(__xludf.DUMMYFUNCTION("""COMPUTED_VALUE"""),"")</f>
        <v/>
      </c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>
      <c r="A270" s="21">
        <f ca="1">IFERROR(__xludf.DUMMYFUNCTION("""COMPUTED_VALUE"""),1690953238)</f>
        <v>1690953238</v>
      </c>
      <c r="B270" s="19" t="str">
        <f ca="1">IFERROR(__xludf.DUMMYFUNCTION("""COMPUTED_VALUE"""),"elisalangsch")</f>
        <v>elisalangsch</v>
      </c>
      <c r="C270" s="22" t="str">
        <f ca="1">IFERROR(__xludf.DUMMYFUNCTION("""COMPUTED_VALUE"""),"https://www.instagram.com/elisalangsch/")</f>
        <v>https://www.instagram.com/elisalangsch/</v>
      </c>
      <c r="D270" s="19">
        <f ca="1">IFERROR(__xludf.DUMMYFUNCTION("""COMPUTED_VALUE"""),166000)</f>
        <v>166000</v>
      </c>
      <c r="E270" s="22" t="str">
        <f ca="1">IFERROR(__xludf.DUMMYFUNCTION("""COMPUTED_VALUE"""),"https://www.tiktok.com/@elisa.langsch")</f>
        <v>https://www.tiktok.com/@elisa.langsch</v>
      </c>
      <c r="F270" s="19">
        <f ca="1">IFERROR(__xludf.DUMMYFUNCTION("""COMPUTED_VALUE"""),5900)</f>
        <v>5900</v>
      </c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>
      <c r="A271" s="21">
        <f ca="1">IFERROR(__xludf.DUMMYFUNCTION("""COMPUTED_VALUE"""),512825537)</f>
        <v>512825537</v>
      </c>
      <c r="B271" s="19" t="str">
        <f ca="1">IFERROR(__xludf.DUMMYFUNCTION("""COMPUTED_VALUE"""),"cacadescontos")</f>
        <v>cacadescontos</v>
      </c>
      <c r="C271" s="22" t="str">
        <f ca="1">IFERROR(__xludf.DUMMYFUNCTION("""COMPUTED_VALUE"""),"https://www.instagram.com/cacadescontosecupons")</f>
        <v>https://www.instagram.com/cacadescontosecupons</v>
      </c>
      <c r="D271" s="19">
        <f ca="1">IFERROR(__xludf.DUMMYFUNCTION("""COMPUTED_VALUE"""),9000)</f>
        <v>9000</v>
      </c>
      <c r="E271" s="22" t="str">
        <f ca="1">IFERROR(__xludf.DUMMYFUNCTION("""COMPUTED_VALUE"""),"https://www.tiktok.com/@cacadescontosecupons")</f>
        <v>https://www.tiktok.com/@cacadescontosecupons</v>
      </c>
      <c r="F271" s="19">
        <f ca="1">IFERROR(__xludf.DUMMYFUNCTION("""COMPUTED_VALUE"""),80000)</f>
        <v>80000</v>
      </c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>
      <c r="A272" s="21">
        <f ca="1">IFERROR(__xludf.DUMMYFUNCTION("""COMPUTED_VALUE"""),1336224488)</f>
        <v>1336224488</v>
      </c>
      <c r="B272" s="19" t="str">
        <f ca="1">IFERROR(__xludf.DUMMYFUNCTION("""COMPUTED_VALUE"""),"recomenda360")</f>
        <v>recomenda360</v>
      </c>
      <c r="C272" s="22" t="str">
        <f ca="1">IFERROR(__xludf.DUMMYFUNCTION("""COMPUTED_VALUE"""),"https://www.instagram.com/recomenda360/")</f>
        <v>https://www.instagram.com/recomenda360/</v>
      </c>
      <c r="D272" s="19">
        <f ca="1">IFERROR(__xludf.DUMMYFUNCTION("""COMPUTED_VALUE"""),170000)</f>
        <v>170000</v>
      </c>
      <c r="E272" s="22" t="str">
        <f ca="1">IFERROR(__xludf.DUMMYFUNCTION("""COMPUTED_VALUE"""),"https://www.tiktok.com/@recomenda360")</f>
        <v>https://www.tiktok.com/@recomenda360</v>
      </c>
      <c r="F272" s="19">
        <f ca="1">IFERROR(__xludf.DUMMYFUNCTION("""COMPUTED_VALUE"""),86600)</f>
        <v>86600</v>
      </c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>
      <c r="A273" s="21">
        <f ca="1">IFERROR(__xludf.DUMMYFUNCTION("""COMPUTED_VALUE"""),1864837598)</f>
        <v>1864837598</v>
      </c>
      <c r="B273" s="19" t="str">
        <f ca="1">IFERROR(__xludf.DUMMYFUNCTION("""COMPUTED_VALUE"""),"lphoffmann")</f>
        <v>lphoffmann</v>
      </c>
      <c r="C273" s="22" t="str">
        <f ca="1">IFERROR(__xludf.DUMMYFUNCTION("""COMPUTED_VALUE"""),"https://www.instagram.com/luizaphoffmann/")</f>
        <v>https://www.instagram.com/luizaphoffmann/</v>
      </c>
      <c r="D273" s="19">
        <f ca="1">IFERROR(__xludf.DUMMYFUNCTION("""COMPUTED_VALUE"""),1989)</f>
        <v>1989</v>
      </c>
      <c r="E273" s="22" t="str">
        <f ca="1">IFERROR(__xludf.DUMMYFUNCTION("""COMPUTED_VALUE"""),"https://www.tiktok.com/@luizahoffmann2")</f>
        <v>https://www.tiktok.com/@luizahoffmann2</v>
      </c>
      <c r="F273" s="19">
        <f ca="1">IFERROR(__xludf.DUMMYFUNCTION("""COMPUTED_VALUE"""),735)</f>
        <v>735</v>
      </c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>
      <c r="A274" s="21">
        <f ca="1">IFERROR(__xludf.DUMMYFUNCTION("""COMPUTED_VALUE"""),473569671)</f>
        <v>473569671</v>
      </c>
      <c r="B274" s="19" t="str">
        <f ca="1">IFERROR(__xludf.DUMMYFUNCTION("""COMPUTED_VALUE"""),"loukosportech")</f>
        <v>loukosportech</v>
      </c>
      <c r="C274" s="19" t="str">
        <f ca="1">IFERROR(__xludf.DUMMYFUNCTION("""COMPUTED_VALUE"""),"")</f>
        <v/>
      </c>
      <c r="D274" s="19" t="str">
        <f ca="1">IFERROR(__xludf.DUMMYFUNCTION("""COMPUTED_VALUE"""),"")</f>
        <v/>
      </c>
      <c r="E274" s="19" t="str">
        <f ca="1">IFERROR(__xludf.DUMMYFUNCTION("""COMPUTED_VALUE"""),"")</f>
        <v/>
      </c>
      <c r="F274" s="19" t="str">
        <f ca="1">IFERROR(__xludf.DUMMYFUNCTION("""COMPUTED_VALUE"""),"")</f>
        <v/>
      </c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>
      <c r="A275" s="21">
        <f ca="1">IFERROR(__xludf.DUMMYFUNCTION("""COMPUTED_VALUE"""),660834219)</f>
        <v>660834219</v>
      </c>
      <c r="B275" s="19" t="str">
        <f ca="1">IFERROR(__xludf.DUMMYFUNCTION("""COMPUTED_VALUE"""),"se20241031082024")</f>
        <v>se20241031082024</v>
      </c>
      <c r="C275" s="22" t="str">
        <f ca="1">IFERROR(__xludf.DUMMYFUNCTION("""COMPUTED_VALUE"""),"https://www.instagram.com/mso729?igsh=ZG5ycnR4Y3M3NXQ3")</f>
        <v>https://www.instagram.com/mso729?igsh=ZG5ycnR4Y3M3NXQ3</v>
      </c>
      <c r="D275" s="19">
        <f ca="1">IFERROR(__xludf.DUMMYFUNCTION("""COMPUTED_VALUE"""),2800)</f>
        <v>2800</v>
      </c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>
      <c r="A276" s="21">
        <f ca="1">IFERROR(__xludf.DUMMYFUNCTION("""COMPUTED_VALUE"""),1452193631)</f>
        <v>1452193631</v>
      </c>
      <c r="B276" s="19" t="str">
        <f ca="1">IFERROR(__xludf.DUMMYFUNCTION("""COMPUTED_VALUE"""),"promofazolli")</f>
        <v>promofazolli</v>
      </c>
      <c r="C276" s="22" t="str">
        <f ca="1">IFERROR(__xludf.DUMMYFUNCTION("""COMPUTED_VALUE"""),"https://www.instagram.com/dyegofazolli?igsh=ZjM5azBzbm5qaWVi")</f>
        <v>https://www.instagram.com/dyegofazolli?igsh=ZjM5azBzbm5qaWVi</v>
      </c>
      <c r="D276" s="19">
        <f ca="1">IFERROR(__xludf.DUMMYFUNCTION("""COMPUTED_VALUE"""),51500)</f>
        <v>51500</v>
      </c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>
      <c r="A277" s="21">
        <f ca="1">IFERROR(__xludf.DUMMYFUNCTION("""COMPUTED_VALUE"""),220392765)</f>
        <v>220392765</v>
      </c>
      <c r="B277" s="19" t="str">
        <f ca="1">IFERROR(__xludf.DUMMYFUNCTION("""COMPUTED_VALUE"""),"reneparaiso")</f>
        <v>reneparaiso</v>
      </c>
      <c r="C277" s="22" t="str">
        <f ca="1">IFERROR(__xludf.DUMMYFUNCTION("""COMPUTED_VALUE"""),"https://www.instagram.com/oreneparaiso/")</f>
        <v>https://www.instagram.com/oreneparaiso/</v>
      </c>
      <c r="D277" s="19">
        <f ca="1">IFERROR(__xludf.DUMMYFUNCTION("""COMPUTED_VALUE"""),11354)</f>
        <v>11354</v>
      </c>
      <c r="E277" s="22" t="str">
        <f ca="1">IFERROR(__xludf.DUMMYFUNCTION("""COMPUTED_VALUE"""),"https://www.tiktok.com/@canalreneparaiso")</f>
        <v>https://www.tiktok.com/@canalreneparaiso</v>
      </c>
      <c r="F277" s="19">
        <f ca="1">IFERROR(__xludf.DUMMYFUNCTION("""COMPUTED_VALUE"""),2927)</f>
        <v>2927</v>
      </c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>
      <c r="A278" s="21">
        <f ca="1">IFERROR(__xludf.DUMMYFUNCTION("""COMPUTED_VALUE"""),459212188)</f>
        <v>459212188</v>
      </c>
      <c r="B278" s="19" t="str">
        <f ca="1">IFERROR(__xludf.DUMMYFUNCTION("""COMPUTED_VALUE"""),"amigabr")</f>
        <v>amigabr</v>
      </c>
      <c r="C278" s="22" t="str">
        <f ca="1">IFERROR(__xludf.DUMMYFUNCTION("""COMPUTED_VALUE"""),"https://www.instagram.com/axadinh0?igsh=MXRzN2lnazQ1YzN1cQ%3D%3D&amp;utm_source=qr")</f>
        <v>https://www.instagram.com/axadinh0?igsh=MXRzN2lnazQ1YzN1cQ%3D%3D&amp;utm_source=qr</v>
      </c>
      <c r="D278" s="19">
        <f ca="1">IFERROR(__xludf.DUMMYFUNCTION("""COMPUTED_VALUE"""),52000)</f>
        <v>52000</v>
      </c>
      <c r="E278" s="22" t="str">
        <f ca="1">IFERROR(__xludf.DUMMYFUNCTION("""COMPUTED_VALUE"""),"https://www.tiktok.com/@axadinh0?_t=ZM-8xkPoH3539M&amp;_r=1")</f>
        <v>https://www.tiktok.com/@axadinh0?_t=ZM-8xkPoH3539M&amp;_r=1</v>
      </c>
      <c r="F278" s="19">
        <f ca="1">IFERROR(__xludf.DUMMYFUNCTION("""COMPUTED_VALUE"""),31000)</f>
        <v>31000</v>
      </c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>
      <c r="A279" s="21">
        <f ca="1">IFERROR(__xludf.DUMMYFUNCTION("""COMPUTED_VALUE"""),1394667453)</f>
        <v>1394667453</v>
      </c>
      <c r="B279" s="19" t="str">
        <f ca="1">IFERROR(__xludf.DUMMYFUNCTION("""COMPUTED_VALUE"""),"cilia")</f>
        <v>cilia</v>
      </c>
      <c r="C279" s="19" t="str">
        <f ca="1">IFERROR(__xludf.DUMMYFUNCTION("""COMPUTED_VALUE"""),"")</f>
        <v/>
      </c>
      <c r="D279" s="19" t="str">
        <f ca="1">IFERROR(__xludf.DUMMYFUNCTION("""COMPUTED_VALUE"""),"")</f>
        <v/>
      </c>
      <c r="E279" s="19" t="str">
        <f ca="1">IFERROR(__xludf.DUMMYFUNCTION("""COMPUTED_VALUE"""),"")</f>
        <v/>
      </c>
      <c r="F279" s="19" t="str">
        <f ca="1">IFERROR(__xludf.DUMMYFUNCTION("""COMPUTED_VALUE"""),"")</f>
        <v/>
      </c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>
      <c r="A280" s="21">
        <f ca="1">IFERROR(__xludf.DUMMYFUNCTION("""COMPUTED_VALUE"""),71485757)</f>
        <v>71485757</v>
      </c>
      <c r="B280" s="19" t="str">
        <f ca="1">IFERROR(__xludf.DUMMYFUNCTION("""COMPUTED_VALUE"""),"ricardohirano")</f>
        <v>ricardohirano</v>
      </c>
      <c r="C280" s="22" t="str">
        <f ca="1">IFERROR(__xludf.DUMMYFUNCTION("""COMPUTED_VALUE"""),"https://www.instagram.com/ricardo.review?igsh=MWZ6ZnZ0bm10aWR1OA==")</f>
        <v>https://www.instagram.com/ricardo.review?igsh=MWZ6ZnZ0bm10aWR1OA==</v>
      </c>
      <c r="D280" s="19">
        <f ca="1">IFERROR(__xludf.DUMMYFUNCTION("""COMPUTED_VALUE"""),75)</f>
        <v>75</v>
      </c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>
      <c r="A281" s="21">
        <f ca="1">IFERROR(__xludf.DUMMYFUNCTION("""COMPUTED_VALUE"""),292847384)</f>
        <v>292847384</v>
      </c>
      <c r="B281" s="19" t="str">
        <f ca="1">IFERROR(__xludf.DUMMYFUNCTION("""COMPUTED_VALUE"""),"fillrocha")</f>
        <v>fillrocha</v>
      </c>
      <c r="C281" s="19" t="str">
        <f ca="1">IFERROR(__xludf.DUMMYFUNCTION("""COMPUTED_VALUE"""),"")</f>
        <v/>
      </c>
      <c r="D281" s="19" t="str">
        <f ca="1">IFERROR(__xludf.DUMMYFUNCTION("""COMPUTED_VALUE"""),"")</f>
        <v/>
      </c>
      <c r="E281" s="19" t="str">
        <f ca="1">IFERROR(__xludf.DUMMYFUNCTION("""COMPUTED_VALUE"""),"")</f>
        <v/>
      </c>
      <c r="F281" s="19" t="str">
        <f ca="1">IFERROR(__xludf.DUMMYFUNCTION("""COMPUTED_VALUE"""),"")</f>
        <v/>
      </c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>
      <c r="A282" s="21">
        <f ca="1">IFERROR(__xludf.DUMMYFUNCTION("""COMPUTED_VALUE"""),485945401)</f>
        <v>485945401</v>
      </c>
      <c r="B282" s="19" t="str">
        <f ca="1">IFERROR(__xludf.DUMMYFUNCTION("""COMPUTED_VALUE"""),"livrosblackfriday")</f>
        <v>livrosblackfriday</v>
      </c>
      <c r="C282" s="22" t="str">
        <f ca="1">IFERROR(__xludf.DUMMYFUNCTION("""COMPUTED_VALUE"""),"https://www.instagram.com/livrosblackfriday/")</f>
        <v>https://www.instagram.com/livrosblackfriday/</v>
      </c>
      <c r="D282" s="19">
        <f ca="1">IFERROR(__xludf.DUMMYFUNCTION("""COMPUTED_VALUE"""),123000)</f>
        <v>123000</v>
      </c>
      <c r="E282" s="22" t="str">
        <f ca="1">IFERROR(__xludf.DUMMYFUNCTION("""COMPUTED_VALUE"""),"https://www.tiktok.com/@livrosblackfriday")</f>
        <v>https://www.tiktok.com/@livrosblackfriday</v>
      </c>
      <c r="F282" s="19">
        <f ca="1">IFERROR(__xludf.DUMMYFUNCTION("""COMPUTED_VALUE"""),2000)</f>
        <v>2000</v>
      </c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>
      <c r="A283" s="21">
        <f ca="1">IFERROR(__xludf.DUMMYFUNCTION("""COMPUTED_VALUE"""),1453199461)</f>
        <v>1453199461</v>
      </c>
      <c r="B283" s="19" t="str">
        <f ca="1">IFERROR(__xludf.DUMMYFUNCTION("""COMPUTED_VALUE"""),"cacadordepromocoes1")</f>
        <v>cacadordepromocoes1</v>
      </c>
      <c r="C283" s="22" t="str">
        <f ca="1">IFERROR(__xludf.DUMMYFUNCTION("""COMPUTED_VALUE"""),"https://www.instagram.com/cacadordepromocoes1?igsh=NmJqY25tNjZscHkz")</f>
        <v>https://www.instagram.com/cacadordepromocoes1?igsh=NmJqY25tNjZscHkz</v>
      </c>
      <c r="D283" s="19">
        <f ca="1">IFERROR(__xludf.DUMMYFUNCTION("""COMPUTED_VALUE"""),3470)</f>
        <v>3470</v>
      </c>
      <c r="E283" s="22" t="str">
        <f ca="1">IFERROR(__xludf.DUMMYFUNCTION("""COMPUTED_VALUE"""),"https://www.tiktok.com/@cacadordepromocoes?_t=ZM-8yftgF2cHNW&amp;_r=1")</f>
        <v>https://www.tiktok.com/@cacadordepromocoes?_t=ZM-8yftgF2cHNW&amp;_r=1</v>
      </c>
      <c r="F283" s="19">
        <f ca="1">IFERROR(__xludf.DUMMYFUNCTION("""COMPUTED_VALUE"""),4400000)</f>
        <v>4400000</v>
      </c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>
      <c r="A284" s="21">
        <f ca="1">IFERROR(__xludf.DUMMYFUNCTION("""COMPUTED_VALUE"""),516957832)</f>
        <v>516957832</v>
      </c>
      <c r="B284" s="19" t="str">
        <f ca="1">IFERROR(__xludf.DUMMYFUNCTION("""COMPUTED_VALUE"""),"sejamaiseconomico")</f>
        <v>sejamaiseconomico</v>
      </c>
      <c r="C284" s="22" t="str">
        <f ca="1">IFERROR(__xludf.DUMMYFUNCTION("""COMPUTED_VALUE"""),"https://www.instagram.com/sejamaiseconomico?igsh=MW11aGN0dHR4Z2N3dQ==")</f>
        <v>https://www.instagram.com/sejamaiseconomico?igsh=MW11aGN0dHR4Z2N3dQ==</v>
      </c>
      <c r="D284" s="19">
        <f ca="1">IFERROR(__xludf.DUMMYFUNCTION("""COMPUTED_VALUE"""),300000)</f>
        <v>300000</v>
      </c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>
      <c r="A285" s="21">
        <f ca="1">IFERROR(__xludf.DUMMYFUNCTION("""COMPUTED_VALUE"""),269721398)</f>
        <v>269721398</v>
      </c>
      <c r="B285" s="19" t="str">
        <f ca="1">IFERROR(__xludf.DUMMYFUNCTION("""COMPUTED_VALUE"""),"tudoonpromocoesofc")</f>
        <v>tudoonpromocoesofc</v>
      </c>
      <c r="C285" s="22" t="str">
        <f ca="1">IFERROR(__xludf.DUMMYFUNCTION("""COMPUTED_VALUE"""),"https://www.instagram.com/tudonpromocoes/")</f>
        <v>https://www.instagram.com/tudonpromocoes/</v>
      </c>
      <c r="D285" s="19">
        <f ca="1">IFERROR(__xludf.DUMMYFUNCTION("""COMPUTED_VALUE"""),770)</f>
        <v>770</v>
      </c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>
      <c r="A286" s="21">
        <f ca="1">IFERROR(__xludf.DUMMYFUNCTION("""COMPUTED_VALUE"""),286691475)</f>
        <v>286691475</v>
      </c>
      <c r="B286" s="19" t="str">
        <f ca="1">IFERROR(__xludf.DUMMYFUNCTION("""COMPUTED_VALUE"""),"debikenamontanha")</f>
        <v>debikenamontanha</v>
      </c>
      <c r="C286" s="22" t="str">
        <f ca="1">IFERROR(__xludf.DUMMYFUNCTION("""COMPUTED_VALUE"""),"https://www.instagram.com/debikenamontanha?igsh=NWNsdmYxNmhzcG9s&amp;utm_source=qr")</f>
        <v>https://www.instagram.com/debikenamontanha?igsh=NWNsdmYxNmhzcG9s&amp;utm_source=qr</v>
      </c>
      <c r="D286" s="19">
        <f ca="1">IFERROR(__xludf.DUMMYFUNCTION("""COMPUTED_VALUE"""),96100)</f>
        <v>96100</v>
      </c>
      <c r="E286" s="22" t="str">
        <f ca="1">IFERROR(__xludf.DUMMYFUNCTION("""COMPUTED_VALUE"""),"https://www.tiktok.com/@debikenamontanha?_t=ZM-8yzS2IkYJvE&amp;_r=1")</f>
        <v>https://www.tiktok.com/@debikenamontanha?_t=ZM-8yzS2IkYJvE&amp;_r=1</v>
      </c>
      <c r="F286" s="19">
        <f ca="1">IFERROR(__xludf.DUMMYFUNCTION("""COMPUTED_VALUE"""),36100)</f>
        <v>36100</v>
      </c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>
      <c r="A287" s="21">
        <f ca="1">IFERROR(__xludf.DUMMYFUNCTION("""COMPUTED_VALUE"""),1156678)</f>
        <v>1156678</v>
      </c>
      <c r="B287" s="19" t="str">
        <f ca="1">IFERROR(__xludf.DUMMYFUNCTION("""COMPUTED_VALUE"""),"liajansenm")</f>
        <v>liajansenm</v>
      </c>
      <c r="C287" s="22" t="str">
        <f ca="1">IFERROR(__xludf.DUMMYFUNCTION("""COMPUTED_VALUE"""),"https://www.instagram.com/home_e_ofertas")</f>
        <v>https://www.instagram.com/home_e_ofertas</v>
      </c>
      <c r="D287" s="19">
        <f ca="1">IFERROR(__xludf.DUMMYFUNCTION("""COMPUTED_VALUE"""),42200)</f>
        <v>42200</v>
      </c>
      <c r="E287" s="22" t="str">
        <f ca="1">IFERROR(__xludf.DUMMYFUNCTION("""COMPUTED_VALUE"""),"https://www.tiktok.com/@home_e_ofertas")</f>
        <v>https://www.tiktok.com/@home_e_ofertas</v>
      </c>
      <c r="F287" s="19">
        <f ca="1">IFERROR(__xludf.DUMMYFUNCTION("""COMPUTED_VALUE"""),17)</f>
        <v>17</v>
      </c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>
      <c r="A288" s="21">
        <f ca="1">IFERROR(__xludf.DUMMYFUNCTION("""COMPUTED_VALUE"""),2444397966)</f>
        <v>2444397966</v>
      </c>
      <c r="B288" s="19" t="str">
        <f ca="1">IFERROR(__xludf.DUMMYFUNCTION("""COMPUTED_VALUE"""),"moisesemila")</f>
        <v>moisesemila</v>
      </c>
      <c r="C288" s="22" t="str">
        <f ca="1">IFERROR(__xludf.DUMMYFUNCTION("""COMPUTED_VALUE"""),"https://www.instagram.com/promosdamilapinheiro")</f>
        <v>https://www.instagram.com/promosdamilapinheiro</v>
      </c>
      <c r="D288" s="19">
        <f ca="1">IFERROR(__xludf.DUMMYFUNCTION("""COMPUTED_VALUE"""),6100)</f>
        <v>6100</v>
      </c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>
      <c r="A289" s="21">
        <f ca="1">IFERROR(__xludf.DUMMYFUNCTION("""COMPUTED_VALUE"""),198417628)</f>
        <v>198417628</v>
      </c>
      <c r="B289" s="19" t="str">
        <f ca="1">IFERROR(__xludf.DUMMYFUNCTION("""COMPUTED_VALUE"""),"achadosdagabby")</f>
        <v>achadosdagabby</v>
      </c>
      <c r="C289" s="22" t="str">
        <f ca="1">IFERROR(__xludf.DUMMYFUNCTION("""COMPUTED_VALUE"""),"https://www.instagram.com/achadosdagabby?igsh=azVzM3V0OWx3NGNh&amp;utm_source=qr")</f>
        <v>https://www.instagram.com/achadosdagabby?igsh=azVzM3V0OWx3NGNh&amp;utm_source=qr</v>
      </c>
      <c r="D289" s="19">
        <f ca="1">IFERROR(__xludf.DUMMYFUNCTION("""COMPUTED_VALUE"""),893000)</f>
        <v>893000</v>
      </c>
      <c r="E289" s="22" t="str">
        <f ca="1">IFERROR(__xludf.DUMMYFUNCTION("""COMPUTED_VALUE"""),"https://www.tiktok.com/@achadosdagabby?_t=ZM-8yzLeRffkn7&amp;_r=1")</f>
        <v>https://www.tiktok.com/@achadosdagabby?_t=ZM-8yzLeRffkn7&amp;_r=1</v>
      </c>
      <c r="F289" s="19">
        <f ca="1">IFERROR(__xludf.DUMMYFUNCTION("""COMPUTED_VALUE"""),10000)</f>
        <v>10000</v>
      </c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>
      <c r="A290" s="21">
        <f ca="1">IFERROR(__xludf.DUMMYFUNCTION("""COMPUTED_VALUE"""),2227174979)</f>
        <v>2227174979</v>
      </c>
      <c r="B290" s="19" t="str">
        <f ca="1">IFERROR(__xludf.DUMMYFUNCTION("""COMPUTED_VALUE"""),"es20250123132717")</f>
        <v>es20250123132717</v>
      </c>
      <c r="C290" s="19" t="str">
        <f ca="1">IFERROR(__xludf.DUMMYFUNCTION("""COMPUTED_VALUE"""),"")</f>
        <v/>
      </c>
      <c r="D290" s="19" t="str">
        <f ca="1">IFERROR(__xludf.DUMMYFUNCTION("""COMPUTED_VALUE"""),"")</f>
        <v/>
      </c>
      <c r="E290" s="19" t="str">
        <f ca="1">IFERROR(__xludf.DUMMYFUNCTION("""COMPUTED_VALUE"""),"")</f>
        <v/>
      </c>
      <c r="F290" s="19" t="str">
        <f ca="1">IFERROR(__xludf.DUMMYFUNCTION("""COMPUTED_VALUE"""),"")</f>
        <v/>
      </c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>
      <c r="A291" s="21">
        <f ca="1">IFERROR(__xludf.DUMMYFUNCTION("""COMPUTED_VALUE"""),506619983)</f>
        <v>506619983</v>
      </c>
      <c r="B291" s="19" t="str">
        <f ca="1">IFERROR(__xludf.DUMMYFUNCTION("""COMPUTED_VALUE"""),"j.efinhocg")</f>
        <v>j.efinhocg</v>
      </c>
      <c r="C291" s="22" t="str">
        <f ca="1">IFERROR(__xludf.DUMMYFUNCTION("""COMPUTED_VALUE"""),"https://www.instagram.com/ressaltandoamor/")</f>
        <v>https://www.instagram.com/ressaltandoamor/</v>
      </c>
      <c r="D291" s="19">
        <f ca="1">IFERROR(__xludf.DUMMYFUNCTION("""COMPUTED_VALUE"""),4000000)</f>
        <v>4000000</v>
      </c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>
      <c r="A292" s="21">
        <f ca="1">IFERROR(__xludf.DUMMYFUNCTION("""COMPUTED_VALUE"""),76774494)</f>
        <v>76774494</v>
      </c>
      <c r="B292" s="19" t="str">
        <f ca="1">IFERROR(__xludf.DUMMYFUNCTION("""COMPUTED_VALUE"""),"euadorocupom")</f>
        <v>euadorocupom</v>
      </c>
      <c r="C292" s="19" t="str">
        <f ca="1">IFERROR(__xludf.DUMMYFUNCTION("""COMPUTED_VALUE"""),"")</f>
        <v/>
      </c>
      <c r="D292" s="19" t="str">
        <f ca="1">IFERROR(__xludf.DUMMYFUNCTION("""COMPUTED_VALUE"""),"")</f>
        <v/>
      </c>
      <c r="E292" s="19" t="str">
        <f ca="1">IFERROR(__xludf.DUMMYFUNCTION("""COMPUTED_VALUE"""),"")</f>
        <v/>
      </c>
      <c r="F292" s="19" t="str">
        <f ca="1">IFERROR(__xludf.DUMMYFUNCTION("""COMPUTED_VALUE"""),"")</f>
        <v/>
      </c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>
      <c r="A293" s="21">
        <f ca="1">IFERROR(__xludf.DUMMYFUNCTION("""COMPUTED_VALUE"""),809062361)</f>
        <v>809062361</v>
      </c>
      <c r="B293" s="19" t="str">
        <f ca="1">IFERROR(__xludf.DUMMYFUNCTION("""COMPUTED_VALUE"""),"findpromosoficial")</f>
        <v>findpromosoficial</v>
      </c>
      <c r="C293" s="22" t="str">
        <f ca="1">IFERROR(__xludf.DUMMYFUNCTION("""COMPUTED_VALUE"""),"https://www.instagram.com/findpromosoficial")</f>
        <v>https://www.instagram.com/findpromosoficial</v>
      </c>
      <c r="D293" s="19">
        <f ca="1">IFERROR(__xludf.DUMMYFUNCTION("""COMPUTED_VALUE"""),3)</f>
        <v>3</v>
      </c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>
      <c r="A294" s="21">
        <f ca="1">IFERROR(__xludf.DUMMYFUNCTION("""COMPUTED_VALUE"""),1485438702)</f>
        <v>1485438702</v>
      </c>
      <c r="B294" s="19" t="str">
        <f ca="1">IFERROR(__xludf.DUMMYFUNCTION("""COMPUTED_VALUE"""),"promocoespremium")</f>
        <v>promocoespremium</v>
      </c>
      <c r="C294" s="22" t="str">
        <f ca="1">IFERROR(__xludf.DUMMYFUNCTION("""COMPUTED_VALUE"""),"https://www.instagram.com/melhorescartoesdecredito/")</f>
        <v>https://www.instagram.com/melhorescartoesdecredito/</v>
      </c>
      <c r="D294" s="19">
        <f ca="1">IFERROR(__xludf.DUMMYFUNCTION("""COMPUTED_VALUE"""),111000)</f>
        <v>111000</v>
      </c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>
      <c r="A295" s="21">
        <f ca="1">IFERROR(__xludf.DUMMYFUNCTION("""COMPUTED_VALUE"""),193547745)</f>
        <v>193547745</v>
      </c>
      <c r="B295" s="19" t="str">
        <f ca="1">IFERROR(__xludf.DUMMYFUNCTION("""COMPUTED_VALUE"""),"carynerocha")</f>
        <v>carynerocha</v>
      </c>
      <c r="C295" s="22" t="str">
        <f ca="1">IFERROR(__xludf.DUMMYFUNCTION("""COMPUTED_VALUE"""),"https://www.instagram.com/caryneerocha?igsh=MXVpYzE5dHRibzRpaA%3D%3D&amp;utm_source=qr")</f>
        <v>https://www.instagram.com/caryneerocha?igsh=MXVpYzE5dHRibzRpaA%3D%3D&amp;utm_source=qr</v>
      </c>
      <c r="D295" s="19">
        <f ca="1">IFERROR(__xludf.DUMMYFUNCTION("""COMPUTED_VALUE"""),1982)</f>
        <v>1982</v>
      </c>
      <c r="E295" s="22" t="str">
        <f ca="1">IFERROR(__xludf.DUMMYFUNCTION("""COMPUTED_VALUE"""),"https://www.tiktok.com/@caryne_rocha?_t=ZM-8xjSbOm7LvE&amp;_r=1")</f>
        <v>https://www.tiktok.com/@caryne_rocha?_t=ZM-8xjSbOm7LvE&amp;_r=1</v>
      </c>
      <c r="F295" s="19">
        <f ca="1">IFERROR(__xludf.DUMMYFUNCTION("""COMPUTED_VALUE"""),6060)</f>
        <v>6060</v>
      </c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>
      <c r="A296" s="21">
        <f ca="1">IFERROR(__xludf.DUMMYFUNCTION("""COMPUTED_VALUE"""),1639459856)</f>
        <v>1639459856</v>
      </c>
      <c r="B296" s="19" t="str">
        <f ca="1">IFERROR(__xludf.DUMMYFUNCTION("""COMPUTED_VALUE"""),"huvi20240114214038")</f>
        <v>huvi20240114214038</v>
      </c>
      <c r="C296" s="22" t="str">
        <f ca="1">IFERROR(__xludf.DUMMYFUNCTION("""COMPUTED_VALUE"""),"https://www.youtube.com/@unboxingnalata")</f>
        <v>https://www.youtube.com/@unboxingnalata</v>
      </c>
      <c r="D296" s="19">
        <f ca="1">IFERROR(__xludf.DUMMYFUNCTION("""COMPUTED_VALUE"""),23000)</f>
        <v>23000</v>
      </c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>
      <c r="A297" s="21">
        <f ca="1">IFERROR(__xludf.DUMMYFUNCTION("""COMPUTED_VALUE"""),202938526)</f>
        <v>202938526</v>
      </c>
      <c r="B297" s="19" t="str">
        <f ca="1">IFERROR(__xludf.DUMMYFUNCTION("""COMPUTED_VALUE"""),"girouchegou")</f>
        <v>girouchegou</v>
      </c>
      <c r="C297" s="22" t="str">
        <f ca="1">IFERROR(__xludf.DUMMYFUNCTION("""COMPUTED_VALUE"""),"https://www.instagram.com/girouchegouyt/")</f>
        <v>https://www.instagram.com/girouchegouyt/</v>
      </c>
      <c r="D297" s="19">
        <f ca="1">IFERROR(__xludf.DUMMYFUNCTION("""COMPUTED_VALUE"""),24000)</f>
        <v>24000</v>
      </c>
      <c r="E297" s="22" t="str">
        <f ca="1">IFERROR(__xludf.DUMMYFUNCTION("""COMPUTED_VALUE"""),"https://www.tiktok.com/@girouchegou?lang=pt-BR")</f>
        <v>https://www.tiktok.com/@girouchegou?lang=pt-BR</v>
      </c>
      <c r="F297" s="19">
        <f ca="1">IFERROR(__xludf.DUMMYFUNCTION("""COMPUTED_VALUE"""),37800)</f>
        <v>37800</v>
      </c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>
      <c r="A298" s="21">
        <f ca="1">IFERROR(__xludf.DUMMYFUNCTION("""COMPUTED_VALUE"""),1879658973)</f>
        <v>1879658973</v>
      </c>
      <c r="B298" s="19" t="str">
        <f ca="1">IFERROR(__xludf.DUMMYFUNCTION("""COMPUTED_VALUE"""),"comprainteligente123")</f>
        <v>comprainteligente123</v>
      </c>
      <c r="C298" s="19" t="str">
        <f ca="1">IFERROR(__xludf.DUMMYFUNCTION("""COMPUTED_VALUE"""),"")</f>
        <v/>
      </c>
      <c r="D298" s="19" t="str">
        <f ca="1">IFERROR(__xludf.DUMMYFUNCTION("""COMPUTED_VALUE"""),"")</f>
        <v/>
      </c>
      <c r="E298" s="19" t="str">
        <f ca="1">IFERROR(__xludf.DUMMYFUNCTION("""COMPUTED_VALUE"""),"")</f>
        <v/>
      </c>
      <c r="F298" s="19" t="str">
        <f ca="1">IFERROR(__xludf.DUMMYFUNCTION("""COMPUTED_VALUE"""),"")</f>
        <v/>
      </c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>
      <c r="A299" s="21">
        <f ca="1">IFERROR(__xludf.DUMMYFUNCTION("""COMPUTED_VALUE"""),83215915)</f>
        <v>83215915</v>
      </c>
      <c r="B299" s="19" t="str">
        <f ca="1">IFERROR(__xludf.DUMMYFUNCTION("""COMPUTED_VALUE"""),"comoclube")</f>
        <v>comoclube</v>
      </c>
      <c r="C299" s="22" t="str">
        <f ca="1">IFERROR(__xludf.DUMMYFUNCTION("""COMPUTED_VALUE"""),"https://www.instagram.com/comoclube/")</f>
        <v>https://www.instagram.com/comoclube/</v>
      </c>
      <c r="D299" s="19">
        <f ca="1">IFERROR(__xludf.DUMMYFUNCTION("""COMPUTED_VALUE"""),6027)</f>
        <v>6027</v>
      </c>
      <c r="E299" s="22" t="str">
        <f ca="1">IFERROR(__xludf.DUMMYFUNCTION("""COMPUTED_VALUE"""),"https://www.tiktok.com/@comoclubeoficial")</f>
        <v>https://www.tiktok.com/@comoclubeoficial</v>
      </c>
      <c r="F299" s="19">
        <f ca="1">IFERROR(__xludf.DUMMYFUNCTION("""COMPUTED_VALUE"""),11300)</f>
        <v>11300</v>
      </c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>
      <c r="A300" s="21">
        <f ca="1">IFERROR(__xludf.DUMMYFUNCTION("""COMPUTED_VALUE"""),1578049413)</f>
        <v>1578049413</v>
      </c>
      <c r="B300" s="19" t="str">
        <f ca="1">IFERROR(__xludf.DUMMYFUNCTION("""COMPUTED_VALUE"""),"obf")</f>
        <v>obf</v>
      </c>
      <c r="C300" s="22" t="str">
        <f ca="1">IFERROR(__xludf.DUMMYFUNCTION("""COMPUTED_VALUE"""),"https://www.instagram.com/lordpitta/")</f>
        <v>https://www.instagram.com/lordpitta/</v>
      </c>
      <c r="D300" s="19">
        <f ca="1">IFERROR(__xludf.DUMMYFUNCTION("""COMPUTED_VALUE"""),11000)</f>
        <v>11000</v>
      </c>
      <c r="E300" s="22" t="str">
        <f ca="1">IFERROR(__xludf.DUMMYFUNCTION("""COMPUTED_VALUE"""),"https://www.tiktok.com/@lordpitta")</f>
        <v>https://www.tiktok.com/@lordpitta</v>
      </c>
      <c r="F300" s="19">
        <f ca="1">IFERROR(__xludf.DUMMYFUNCTION("""COMPUTED_VALUE"""),662)</f>
        <v>662</v>
      </c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>
      <c r="A301" s="21">
        <f ca="1">IFERROR(__xludf.DUMMYFUNCTION("""COMPUTED_VALUE"""),1430584463)</f>
        <v>1430584463</v>
      </c>
      <c r="B301" s="19" t="str">
        <f ca="1">IFERROR(__xludf.DUMMYFUNCTION("""COMPUTED_VALUE"""),"achadonapromo")</f>
        <v>achadonapromo</v>
      </c>
      <c r="C301" s="22" t="str">
        <f ca="1">IFERROR(__xludf.DUMMYFUNCTION("""COMPUTED_VALUE"""),"https://www.instagram.com/achadonapromo?igsh=MTJsenR1bGEzd2ZnMg==")</f>
        <v>https://www.instagram.com/achadonapromo?igsh=MTJsenR1bGEzd2ZnMg==</v>
      </c>
      <c r="D301" s="19">
        <f ca="1">IFERROR(__xludf.DUMMYFUNCTION("""COMPUTED_VALUE"""),139486)</f>
        <v>139486</v>
      </c>
      <c r="E301" s="22" t="str">
        <f ca="1">IFERROR(__xludf.DUMMYFUNCTION("""COMPUTED_VALUE"""),"https://www.tiktok.com/@carolinalalencar?_t=ZM-8ydNYRqgUb7&amp;_r=1")</f>
        <v>https://www.tiktok.com/@carolinalalencar?_t=ZM-8ydNYRqgUb7&amp;_r=1</v>
      </c>
      <c r="F301" s="19">
        <f ca="1">IFERROR(__xludf.DUMMYFUNCTION("""COMPUTED_VALUE"""),19500)</f>
        <v>19500</v>
      </c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>
      <c r="A302" s="21">
        <f ca="1">IFERROR(__xludf.DUMMYFUNCTION("""COMPUTED_VALUE"""),1381583566)</f>
        <v>1381583566</v>
      </c>
      <c r="B302" s="19" t="str">
        <f ca="1">IFERROR(__xludf.DUMMYFUNCTION("""COMPUTED_VALUE"""),"ofertasecreta")</f>
        <v>ofertasecreta</v>
      </c>
      <c r="C302" s="19" t="str">
        <f ca="1">IFERROR(__xludf.DUMMYFUNCTION("""COMPUTED_VALUE"""),"oferta.secreta")</f>
        <v>oferta.secreta</v>
      </c>
      <c r="D302" s="19">
        <f ca="1">IFERROR(__xludf.DUMMYFUNCTION("""COMPUTED_VALUE"""),6800)</f>
        <v>6800</v>
      </c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>
      <c r="A303" s="21">
        <f ca="1">IFERROR(__xludf.DUMMYFUNCTION("""COMPUTED_VALUE"""),329944149)</f>
        <v>329944149</v>
      </c>
      <c r="B303" s="19" t="str">
        <f ca="1">IFERROR(__xludf.DUMMYFUNCTION("""COMPUTED_VALUE"""),"biiu2522017")</f>
        <v>biiu2522017</v>
      </c>
      <c r="C303" s="19" t="str">
        <f ca="1">IFERROR(__xludf.DUMMYFUNCTION("""COMPUTED_VALUE"""),"")</f>
        <v/>
      </c>
      <c r="D303" s="19" t="str">
        <f ca="1">IFERROR(__xludf.DUMMYFUNCTION("""COMPUTED_VALUE"""),"")</f>
        <v/>
      </c>
      <c r="E303" s="19" t="str">
        <f ca="1">IFERROR(__xludf.DUMMYFUNCTION("""COMPUTED_VALUE"""),"")</f>
        <v/>
      </c>
      <c r="F303" s="19" t="str">
        <f ca="1">IFERROR(__xludf.DUMMYFUNCTION("""COMPUTED_VALUE"""),"")</f>
        <v/>
      </c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>
      <c r="A304" s="21">
        <f ca="1">IFERROR(__xludf.DUMMYFUNCTION("""COMPUTED_VALUE"""),431811888)</f>
        <v>431811888</v>
      </c>
      <c r="B304" s="19" t="str">
        <f ca="1">IFERROR(__xludf.DUMMYFUNCTION("""COMPUTED_VALUE"""),"instadaspromos")</f>
        <v>instadaspromos</v>
      </c>
      <c r="C304" s="22" t="str">
        <f ca="1">IFERROR(__xludf.DUMMYFUNCTION("""COMPUTED_VALUE"""),"https://www.instagram.com/achadinhosdi.casa?igsh=M2oxM2g0dnJjbG9t&amp;utm_source=qr")</f>
        <v>https://www.instagram.com/achadinhosdi.casa?igsh=M2oxM2g0dnJjbG9t&amp;utm_source=qr</v>
      </c>
      <c r="D304" s="19">
        <f ca="1">IFERROR(__xludf.DUMMYFUNCTION("""COMPUTED_VALUE"""),600000)</f>
        <v>600000</v>
      </c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>
      <c r="A305" s="21">
        <f ca="1">IFERROR(__xludf.DUMMYFUNCTION("""COMPUTED_VALUE"""),180066235)</f>
        <v>180066235</v>
      </c>
      <c r="B305" s="19" t="str">
        <f ca="1">IFERROR(__xludf.DUMMYFUNCTION("""COMPUTED_VALUE"""),"promolets")</f>
        <v>promolets</v>
      </c>
      <c r="C305" s="22" t="str">
        <f ca="1">IFERROR(__xludf.DUMMYFUNCTION("""COMPUTED_VALUE"""),"https://www.instagram.com/promo.lets/")</f>
        <v>https://www.instagram.com/promo.lets/</v>
      </c>
      <c r="D305" s="19">
        <f ca="1">IFERROR(__xludf.DUMMYFUNCTION("""COMPUTED_VALUE"""),122000)</f>
        <v>122000</v>
      </c>
      <c r="E305" s="22" t="str">
        <f ca="1">IFERROR(__xludf.DUMMYFUNCTION("""COMPUTED_VALUE"""),"https://www.tiktok.com/@promolets")</f>
        <v>https://www.tiktok.com/@promolets</v>
      </c>
      <c r="F305" s="19">
        <f ca="1">IFERROR(__xludf.DUMMYFUNCTION("""COMPUTED_VALUE"""),1253)</f>
        <v>1253</v>
      </c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>
      <c r="A306" s="21">
        <f ca="1">IFERROR(__xludf.DUMMYFUNCTION("""COMPUTED_VALUE"""),1452102353)</f>
        <v>1452102353</v>
      </c>
      <c r="B306" s="19" t="str">
        <f ca="1">IFERROR(__xludf.DUMMYFUNCTION("""COMPUTED_VALUE"""),"bugadao")</f>
        <v>bugadao</v>
      </c>
      <c r="C306" s="22" t="str">
        <f ca="1">IFERROR(__xludf.DUMMYFUNCTION("""COMPUTED_VALUE"""),"https://www.instagram.com/bugadao.com.br/")</f>
        <v>https://www.instagram.com/bugadao.com.br/</v>
      </c>
      <c r="D306" s="19">
        <f ca="1">IFERROR(__xludf.DUMMYFUNCTION("""COMPUTED_VALUE"""),158000)</f>
        <v>158000</v>
      </c>
      <c r="E306" s="22" t="str">
        <f ca="1">IFERROR(__xludf.DUMMYFUNCTION("""COMPUTED_VALUE"""),"https://www.tiktok.com/@bugadao.com.br")</f>
        <v>https://www.tiktok.com/@bugadao.com.br</v>
      </c>
      <c r="F306" s="19">
        <f ca="1">IFERROR(__xludf.DUMMYFUNCTION("""COMPUTED_VALUE"""),228000)</f>
        <v>228000</v>
      </c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>
      <c r="A307" s="21">
        <f ca="1">IFERROR(__xludf.DUMMYFUNCTION("""COMPUTED_VALUE"""),1588265237)</f>
        <v>1588265237</v>
      </c>
      <c r="B307" s="19" t="str">
        <f ca="1">IFERROR(__xludf.DUMMYFUNCTION("""COMPUTED_VALUE"""),"promoatleta")</f>
        <v>promoatleta</v>
      </c>
      <c r="C307" s="22" t="str">
        <f ca="1">IFERROR(__xludf.DUMMYFUNCTION("""COMPUTED_VALUE"""),"https://www.instagram.com/promoatleta/")</f>
        <v>https://www.instagram.com/promoatleta/</v>
      </c>
      <c r="D307" s="19">
        <f ca="1">IFERROR(__xludf.DUMMYFUNCTION("""COMPUTED_VALUE"""),6500)</f>
        <v>6500</v>
      </c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>
      <c r="A308" s="21">
        <f ca="1">IFERROR(__xludf.DUMMYFUNCTION("""COMPUTED_VALUE"""),288720773)</f>
        <v>288720773</v>
      </c>
      <c r="B308" s="19" t="str">
        <f ca="1">IFERROR(__xludf.DUMMYFUNCTION("""COMPUTED_VALUE"""),"omundodepromos")</f>
        <v>omundodepromos</v>
      </c>
      <c r="C308" s="22" t="str">
        <f ca="1">IFERROR(__xludf.DUMMYFUNCTION("""COMPUTED_VALUE"""),"https://www.instagram.com/omundodepromos")</f>
        <v>https://www.instagram.com/omundodepromos</v>
      </c>
      <c r="D308" s="19">
        <f ca="1">IFERROR(__xludf.DUMMYFUNCTION("""COMPUTED_VALUE"""),4550)</f>
        <v>4550</v>
      </c>
      <c r="E308" s="22" t="str">
        <f ca="1">IFERROR(__xludf.DUMMYFUNCTION("""COMPUTED_VALUE"""),"https://www.tiktok.com/@omundodepromos?_t=ZM-8xfxdGfZpBA&amp;_r=1")</f>
        <v>https://www.tiktok.com/@omundodepromos?_t=ZM-8xfxdGfZpBA&amp;_r=1</v>
      </c>
      <c r="F308" s="19">
        <f ca="1">IFERROR(__xludf.DUMMYFUNCTION("""COMPUTED_VALUE"""),100)</f>
        <v>100</v>
      </c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>
      <c r="A309" s="21">
        <f ca="1">IFERROR(__xludf.DUMMYFUNCTION("""COMPUTED_VALUE"""),470806864)</f>
        <v>470806864</v>
      </c>
      <c r="B309" s="19" t="str">
        <f ca="1">IFERROR(__xludf.DUMMYFUNCTION("""COMPUTED_VALUE"""),"almaderica")</f>
        <v>almaderica</v>
      </c>
      <c r="C309" s="22" t="str">
        <f ca="1">IFERROR(__xludf.DUMMYFUNCTION("""COMPUTED_VALUE"""),"https://www.instagram.com/almaderica_?igsh=NHl1c3RrYXFjaTdp&amp;utm_source=qr")</f>
        <v>https://www.instagram.com/almaderica_?igsh=NHl1c3RrYXFjaTdp&amp;utm_source=qr</v>
      </c>
      <c r="D309" s="19">
        <f ca="1">IFERROR(__xludf.DUMMYFUNCTION("""COMPUTED_VALUE"""),220000)</f>
        <v>220000</v>
      </c>
      <c r="E309" s="22" t="str">
        <f ca="1">IFERROR(__xludf.DUMMYFUNCTION("""COMPUTED_VALUE"""),"https://www.tiktok.com/@almaderica?_t=ZM-8xfx2kLy41w&amp;_r=1")</f>
        <v>https://www.tiktok.com/@almaderica?_t=ZM-8xfx2kLy41w&amp;_r=1</v>
      </c>
      <c r="F309" s="19">
        <f ca="1">IFERROR(__xludf.DUMMYFUNCTION("""COMPUTED_VALUE"""),11000)</f>
        <v>11000</v>
      </c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>
      <c r="A310" s="21">
        <f ca="1">IFERROR(__xludf.DUMMYFUNCTION("""COMPUTED_VALUE"""),1447302999)</f>
        <v>1447302999</v>
      </c>
      <c r="B310" s="19" t="str">
        <f ca="1">IFERROR(__xludf.DUMMYFUNCTION("""COMPUTED_VALUE"""),"promodocasal")</f>
        <v>promodocasal</v>
      </c>
      <c r="C310" s="22" t="str">
        <f ca="1">IFERROR(__xludf.DUMMYFUNCTION("""COMPUTED_VALUE"""),"https://www.instagram.com/promodocasal")</f>
        <v>https://www.instagram.com/promodocasal</v>
      </c>
      <c r="D310" s="19">
        <f ca="1">IFERROR(__xludf.DUMMYFUNCTION("""COMPUTED_VALUE"""),4000)</f>
        <v>4000</v>
      </c>
      <c r="E310" s="22" t="str">
        <f ca="1">IFERROR(__xludf.DUMMYFUNCTION("""COMPUTED_VALUE"""),"https://www.tiktok.com/@promodocasal")</f>
        <v>https://www.tiktok.com/@promodocasal</v>
      </c>
      <c r="F310" s="19">
        <f ca="1">IFERROR(__xludf.DUMMYFUNCTION("""COMPUTED_VALUE"""),33)</f>
        <v>33</v>
      </c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>
      <c r="A311" s="21">
        <f ca="1">IFERROR(__xludf.DUMMYFUNCTION("""COMPUTED_VALUE"""),2238686778)</f>
        <v>2238686778</v>
      </c>
      <c r="B311" s="19" t="str">
        <f ca="1">IFERROR(__xludf.DUMMYFUNCTION("""COMPUTED_VALUE"""),"sopromosrelampago")</f>
        <v>sopromosrelampago</v>
      </c>
      <c r="C311" s="22" t="str">
        <f ca="1">IFERROR(__xludf.DUMMYFUNCTION("""COMPUTED_VALUE"""),"https://www.instagram.com/outletdaspromocoess")</f>
        <v>https://www.instagram.com/outletdaspromocoess</v>
      </c>
      <c r="D311" s="19">
        <f ca="1">IFERROR(__xludf.DUMMYFUNCTION("""COMPUTED_VALUE"""),3000)</f>
        <v>3000</v>
      </c>
      <c r="E311" s="22" t="str">
        <f ca="1">IFERROR(__xludf.DUMMYFUNCTION("""COMPUTED_VALUE"""),"https://www.tiktok.com/@outletdaspromocoess")</f>
        <v>https://www.tiktok.com/@outletdaspromocoess</v>
      </c>
      <c r="F311" s="19">
        <f ca="1">IFERROR(__xludf.DUMMYFUNCTION("""COMPUTED_VALUE"""),64)</f>
        <v>64</v>
      </c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>
      <c r="A312" s="21">
        <f ca="1">IFERROR(__xludf.DUMMYFUNCTION("""COMPUTED_VALUE"""),232876240)</f>
        <v>232876240</v>
      </c>
      <c r="B312" s="19" t="str">
        <f ca="1">IFERROR(__xludf.DUMMYFUNCTION("""COMPUTED_VALUE"""),"especialistautilitar")</f>
        <v>especialistautilitar</v>
      </c>
      <c r="C312" s="22" t="str">
        <f ca="1">IFERROR(__xludf.DUMMYFUNCTION("""COMPUTED_VALUE"""),"https://www.instagram.com/especialistautilitario/")</f>
        <v>https://www.instagram.com/especialistautilitario/</v>
      </c>
      <c r="D312" s="19">
        <f ca="1">IFERROR(__xludf.DUMMYFUNCTION("""COMPUTED_VALUE"""),303000)</f>
        <v>303000</v>
      </c>
      <c r="E312" s="22" t="str">
        <f ca="1">IFERROR(__xludf.DUMMYFUNCTION("""COMPUTED_VALUE"""),"https://www.tiktok.com/@especialistautililitario")</f>
        <v>https://www.tiktok.com/@especialistautililitario</v>
      </c>
      <c r="F312" s="19">
        <f ca="1">IFERROR(__xludf.DUMMYFUNCTION("""COMPUTED_VALUE"""),59000)</f>
        <v>59000</v>
      </c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>
      <c r="A313" s="21">
        <f ca="1">IFERROR(__xludf.DUMMYFUNCTION("""COMPUTED_VALUE"""),1782610485)</f>
        <v>1782610485</v>
      </c>
      <c r="B313" s="19">
        <f ca="1">IFERROR(__xludf.DUMMYFUNCTION("""COMPUTED_VALUE"""),1782610485)</f>
        <v>1782610485</v>
      </c>
      <c r="C313" s="22" t="str">
        <f ca="1">IFERROR(__xludf.DUMMYFUNCTION("""COMPUTED_VALUE"""),"https://www.instagram.com/tiemichino/")</f>
        <v>https://www.instagram.com/tiemichino/</v>
      </c>
      <c r="D313" s="19">
        <f ca="1">IFERROR(__xludf.DUMMYFUNCTION("""COMPUTED_VALUE"""),550)</f>
        <v>550</v>
      </c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>
      <c r="A314" s="21">
        <f ca="1">IFERROR(__xludf.DUMMYFUNCTION("""COMPUTED_VALUE"""),129633865)</f>
        <v>129633865</v>
      </c>
      <c r="B314" s="19" t="str">
        <f ca="1">IFERROR(__xludf.DUMMYFUNCTION("""COMPUTED_VALUE"""),"adriellymonick")</f>
        <v>adriellymonick</v>
      </c>
      <c r="C314" s="22" t="str">
        <f ca="1">IFERROR(__xludf.DUMMYFUNCTION("""COMPUTED_VALUE"""),"https://www.instagram.com/achadosencantoelar?igsh=MXY3eWhvYW5lNGlqdg%3D%3D&amp;utm_source=qr")</f>
        <v>https://www.instagram.com/achadosencantoelar?igsh=MXY3eWhvYW5lNGlqdg%3D%3D&amp;utm_source=qr</v>
      </c>
      <c r="D314" s="19">
        <f ca="1">IFERROR(__xludf.DUMMYFUNCTION("""COMPUTED_VALUE"""),30000)</f>
        <v>30000</v>
      </c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>
      <c r="A315" s="21">
        <f ca="1">IFERROR(__xludf.DUMMYFUNCTION("""COMPUTED_VALUE"""),1044623240)</f>
        <v>1044623240</v>
      </c>
      <c r="B315" s="19" t="str">
        <f ca="1">IFERROR(__xludf.DUMMYFUNCTION("""COMPUTED_VALUE"""),"cadi3168098")</f>
        <v>cadi3168098</v>
      </c>
      <c r="C315" s="19" t="str">
        <f ca="1">IFERROR(__xludf.DUMMYFUNCTION("""COMPUTED_VALUE"""),"")</f>
        <v/>
      </c>
      <c r="D315" s="19" t="str">
        <f ca="1">IFERROR(__xludf.DUMMYFUNCTION("""COMPUTED_VALUE"""),"")</f>
        <v/>
      </c>
      <c r="E315" s="19" t="str">
        <f ca="1">IFERROR(__xludf.DUMMYFUNCTION("""COMPUTED_VALUE"""),"")</f>
        <v/>
      </c>
      <c r="F315" s="19" t="str">
        <f ca="1">IFERROR(__xludf.DUMMYFUNCTION("""COMPUTED_VALUE"""),"")</f>
        <v/>
      </c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>
      <c r="A316" s="21">
        <f ca="1">IFERROR(__xludf.DUMMYFUNCTION("""COMPUTED_VALUE"""),1560128654)</f>
        <v>1560128654</v>
      </c>
      <c r="B316" s="19" t="str">
        <f ca="1">IFERROR(__xludf.DUMMYFUNCTION("""COMPUTED_VALUE"""),"wide")</f>
        <v>wide</v>
      </c>
      <c r="C316" s="22" t="str">
        <f ca="1">IFERROR(__xludf.DUMMYFUNCTION("""COMPUTED_VALUE"""),"https://www.instagram.com/ramonmantesso")</f>
        <v>https://www.instagram.com/ramonmantesso</v>
      </c>
      <c r="D316" s="19">
        <f ca="1">IFERROR(__xludf.DUMMYFUNCTION("""COMPUTED_VALUE"""),1243)</f>
        <v>1243</v>
      </c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>
      <c r="A317" s="21">
        <f ca="1">IFERROR(__xludf.DUMMYFUNCTION("""COMPUTED_VALUE"""),1803568980)</f>
        <v>1803568980</v>
      </c>
      <c r="B317" s="19" t="str">
        <f ca="1">IFERROR(__xludf.DUMMYFUNCTION("""COMPUTED_VALUE"""),"gianlucabc")</f>
        <v>gianlucabc</v>
      </c>
      <c r="C317" s="22" t="str">
        <f ca="1">IFERROR(__xludf.DUMMYFUNCTION("""COMPUTED_VALUE"""),"https://www.instagram.com/gbctec/")</f>
        <v>https://www.instagram.com/gbctec/</v>
      </c>
      <c r="D317" s="19">
        <f ca="1">IFERROR(__xludf.DUMMYFUNCTION("""COMPUTED_VALUE"""),330)</f>
        <v>330</v>
      </c>
      <c r="E317" s="22" t="str">
        <f ca="1">IFERROR(__xludf.DUMMYFUNCTION("""COMPUTED_VALUE"""),"https://www.tiktok.com/@gbctec?lang=pt-BR")</f>
        <v>https://www.tiktok.com/@gbctec?lang=pt-BR</v>
      </c>
      <c r="F317" s="19">
        <f ca="1">IFERROR(__xludf.DUMMYFUNCTION("""COMPUTED_VALUE"""),974)</f>
        <v>974</v>
      </c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>
      <c r="A318" s="21">
        <f ca="1">IFERROR(__xludf.DUMMYFUNCTION("""COMPUTED_VALUE"""),167259214)</f>
        <v>167259214</v>
      </c>
      <c r="B318" s="19" t="str">
        <f ca="1">IFERROR(__xludf.DUMMYFUNCTION("""COMPUTED_VALUE"""),"promocoestaon")</f>
        <v>promocoestaon</v>
      </c>
      <c r="C318" s="19" t="str">
        <f ca="1">IFERROR(__xludf.DUMMYFUNCTION("""COMPUTED_VALUE"""),"https://www.instagram.com/stories/mamaetaonpromocoes/ // https://www.instagram.com/stories/promocoestaon/  //  https://www.instagram.com/stories/promofittaon/")</f>
        <v>https://www.instagram.com/stories/mamaetaonpromocoes/ // https://www.instagram.com/stories/promocoestaon/  //  https://www.instagram.com/stories/promofittaon/</v>
      </c>
      <c r="D318" s="19">
        <f ca="1">IFERROR(__xludf.DUMMYFUNCTION("""COMPUTED_VALUE"""),27000)</f>
        <v>27000</v>
      </c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>
      <c r="A319" s="21">
        <f ca="1">IFERROR(__xludf.DUMMYFUNCTION("""COMPUTED_VALUE"""),1556490119)</f>
        <v>1556490119</v>
      </c>
      <c r="B319" s="19" t="str">
        <f ca="1">IFERROR(__xludf.DUMMYFUNCTION("""COMPUTED_VALUE"""),"lenosanches")</f>
        <v>lenosanches</v>
      </c>
      <c r="C319" s="22" t="str">
        <f ca="1">IFERROR(__xludf.DUMMYFUNCTION("""COMPUTED_VALUE"""),"https://www.instagram.com.br/lenosanches_")</f>
        <v>https://www.instagram.com.br/lenosanches_</v>
      </c>
      <c r="D319" s="19">
        <f ca="1">IFERROR(__xludf.DUMMYFUNCTION("""COMPUTED_VALUE"""),10200)</f>
        <v>10200</v>
      </c>
      <c r="E319" s="22" t="str">
        <f ca="1">IFERROR(__xludf.DUMMYFUNCTION("""COMPUTED_VALUE"""),"https://www.tiktok.com/@lenosanches_")</f>
        <v>https://www.tiktok.com/@lenosanches_</v>
      </c>
      <c r="F319" s="19">
        <f ca="1">IFERROR(__xludf.DUMMYFUNCTION("""COMPUTED_VALUE"""),1060)</f>
        <v>1060</v>
      </c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>
      <c r="A320" s="21">
        <f ca="1">IFERROR(__xludf.DUMMYFUNCTION("""COMPUTED_VALUE"""),261918389)</f>
        <v>261918389</v>
      </c>
      <c r="B320" s="19" t="str">
        <f ca="1">IFERROR(__xludf.DUMMYFUNCTION("""COMPUTED_VALUE"""),"blackofertas")</f>
        <v>blackofertas</v>
      </c>
      <c r="C320" s="22" t="str">
        <f ca="1">IFERROR(__xludf.DUMMYFUNCTION("""COMPUTED_VALUE"""),"https://www.instagram.com/blackofertasdodia?igsh=N2RiNGEwZXBvcHRt&amp;utm_source=qr")</f>
        <v>https://www.instagram.com/blackofertasdodia?igsh=N2RiNGEwZXBvcHRt&amp;utm_source=qr</v>
      </c>
      <c r="D320" s="19">
        <f ca="1">IFERROR(__xludf.DUMMYFUNCTION("""COMPUTED_VALUE"""),11000)</f>
        <v>11000</v>
      </c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>
      <c r="A321" s="21">
        <f ca="1">IFERROR(__xludf.DUMMYFUNCTION("""COMPUTED_VALUE"""),421988581)</f>
        <v>421988581</v>
      </c>
      <c r="B321" s="19" t="str">
        <f ca="1">IFERROR(__xludf.DUMMYFUNCTION("""COMPUTED_VALUE"""),"suzannemiranda")</f>
        <v>suzannemiranda</v>
      </c>
      <c r="C321" s="22" t="str">
        <f ca="1">IFERROR(__xludf.DUMMYFUNCTION("""COMPUTED_VALUE"""),"https://www.instagram.com/brasilencontreiachados?igsh=ZHdpNjN1OWVyajVr&amp;utm_source=qr")</f>
        <v>https://www.instagram.com/brasilencontreiachados?igsh=ZHdpNjN1OWVyajVr&amp;utm_source=qr</v>
      </c>
      <c r="D321" s="19">
        <f ca="1">IFERROR(__xludf.DUMMYFUNCTION("""COMPUTED_VALUE"""),120000)</f>
        <v>120000</v>
      </c>
      <c r="E321" s="22" t="str">
        <f ca="1">IFERROR(__xludf.DUMMYFUNCTION("""COMPUTED_VALUE"""),"https://www.tiktok.com/@brasilencontreiachados?_t=ZM-8ygpsfgb1m9&amp;_r=1")</f>
        <v>https://www.tiktok.com/@brasilencontreiachados?_t=ZM-8ygpsfgb1m9&amp;_r=1</v>
      </c>
      <c r="F321" s="19">
        <f ca="1">IFERROR(__xludf.DUMMYFUNCTION("""COMPUTED_VALUE"""),7438)</f>
        <v>7438</v>
      </c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>
      <c r="A322" s="21">
        <f ca="1">IFERROR(__xludf.DUMMYFUNCTION("""COMPUTED_VALUE"""),199596020)</f>
        <v>199596020</v>
      </c>
      <c r="B322" s="19" t="str">
        <f ca="1">IFERROR(__xludf.DUMMYFUNCTION("""COMPUTED_VALUE"""),"shareyouroferta")</f>
        <v>shareyouroferta</v>
      </c>
      <c r="C322" s="22" t="str">
        <f ca="1">IFERROR(__xludf.DUMMYFUNCTION("""COMPUTED_VALUE"""),"https://www.instagram.com/promoscombruna")</f>
        <v>https://www.instagram.com/promoscombruna</v>
      </c>
      <c r="D322" s="19">
        <f ca="1">IFERROR(__xludf.DUMMYFUNCTION("""COMPUTED_VALUE"""),3700)</f>
        <v>3700</v>
      </c>
      <c r="E322" s="22" t="str">
        <f ca="1">IFERROR(__xludf.DUMMYFUNCTION("""COMPUTED_VALUE"""),"https://www.tiktok.com/@bru.andradi?_t=ZM-8yzM6YBzcYf&amp;_r=1")</f>
        <v>https://www.tiktok.com/@bru.andradi?_t=ZM-8yzM6YBzcYf&amp;_r=1</v>
      </c>
      <c r="F322" s="19">
        <f ca="1">IFERROR(__xludf.DUMMYFUNCTION("""COMPUTED_VALUE"""),14700)</f>
        <v>14700</v>
      </c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>
      <c r="A323" s="21">
        <f ca="1">IFERROR(__xludf.DUMMYFUNCTION("""COMPUTED_VALUE"""),185337599)</f>
        <v>185337599</v>
      </c>
      <c r="B323" s="19" t="str">
        <f ca="1">IFERROR(__xludf.DUMMYFUNCTION("""COMPUTED_VALUE"""),"deborahlaines")</f>
        <v>deborahlaines</v>
      </c>
      <c r="C323" s="22" t="str">
        <f ca="1">IFERROR(__xludf.DUMMYFUNCTION("""COMPUTED_VALUE"""),"https://www.instagram.com/deborahlaines?igsh=MW4wZ3RlNDBwMXl6dA==")</f>
        <v>https://www.instagram.com/deborahlaines?igsh=MW4wZ3RlNDBwMXl6dA==</v>
      </c>
      <c r="D323" s="19">
        <f ca="1">IFERROR(__xludf.DUMMYFUNCTION("""COMPUTED_VALUE"""),526)</f>
        <v>526</v>
      </c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>
      <c r="A324" s="21">
        <f ca="1">IFERROR(__xludf.DUMMYFUNCTION("""COMPUTED_VALUE"""),786771892)</f>
        <v>786771892</v>
      </c>
      <c r="B324" s="19" t="str">
        <f ca="1">IFERROR(__xludf.DUMMYFUNCTION("""COMPUTED_VALUE"""),"achadinhosgarantido")</f>
        <v>achadinhosgarantido</v>
      </c>
      <c r="C324" s="22" t="str">
        <f ca="1">IFERROR(__xludf.DUMMYFUNCTION("""COMPUTED_VALUE"""),"https://www.instagram.com/achadinhosgarantido?igsh=ZGZlaHNjdjdlODMw")</f>
        <v>https://www.instagram.com/achadinhosgarantido?igsh=ZGZlaHNjdjdlODMw</v>
      </c>
      <c r="D324" s="19">
        <f ca="1">IFERROR(__xludf.DUMMYFUNCTION("""COMPUTED_VALUE"""),132000)</f>
        <v>132000</v>
      </c>
      <c r="E324" s="22" t="str">
        <f ca="1">IFERROR(__xludf.DUMMYFUNCTION("""COMPUTED_VALUE"""),"https://www.tiktok.com/@achadinhosgarantido?_t=ZM-8xg1XNsx3ma&amp;_r=1")</f>
        <v>https://www.tiktok.com/@achadinhosgarantido?_t=ZM-8xg1XNsx3ma&amp;_r=1</v>
      </c>
      <c r="F324" s="19">
        <f ca="1">IFERROR(__xludf.DUMMYFUNCTION("""COMPUTED_VALUE"""),184000)</f>
        <v>184000</v>
      </c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>
      <c r="A325" s="21">
        <f ca="1">IFERROR(__xludf.DUMMYFUNCTION("""COMPUTED_VALUE"""),1316590351)</f>
        <v>1316590351</v>
      </c>
      <c r="B325" s="19" t="str">
        <f ca="1">IFERROR(__xludf.DUMMYFUNCTION("""COMPUTED_VALUE"""),"betech")</f>
        <v>betech</v>
      </c>
      <c r="C325" s="22" t="str">
        <f ca="1">IFERROR(__xludf.DUMMYFUNCTION("""COMPUTED_VALUE"""),"https://www.instagram.com/betechers/")</f>
        <v>https://www.instagram.com/betechers/</v>
      </c>
      <c r="D325" s="19">
        <f ca="1">IFERROR(__xludf.DUMMYFUNCTION("""COMPUTED_VALUE"""),168000)</f>
        <v>168000</v>
      </c>
      <c r="E325" s="22" t="str">
        <f ca="1">IFERROR(__xludf.DUMMYFUNCTION("""COMPUTED_VALUE"""),"https://www.tiktok.com/@betechers")</f>
        <v>https://www.tiktok.com/@betechers</v>
      </c>
      <c r="F325" s="19">
        <f ca="1">IFERROR(__xludf.DUMMYFUNCTION("""COMPUTED_VALUE"""),76800)</f>
        <v>76800</v>
      </c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>
      <c r="A326" s="21">
        <f ca="1">IFERROR(__xludf.DUMMYFUNCTION("""COMPUTED_VALUE"""),2070420611)</f>
        <v>2070420611</v>
      </c>
      <c r="B326" s="19" t="str">
        <f ca="1">IFERROR(__xludf.DUMMYFUNCTION("""COMPUTED_VALUE"""),"erick7link")</f>
        <v>erick7link</v>
      </c>
      <c r="C326" s="22" t="str">
        <f ca="1">IFERROR(__xludf.DUMMYFUNCTION("""COMPUTED_VALUE"""),"https://www.instagram.com/link7erick/profilecard/?igsh=MXV5amt5dHlwbHIydQ==")</f>
        <v>https://www.instagram.com/link7erick/profilecard/?igsh=MXV5amt5dHlwbHIydQ==</v>
      </c>
      <c r="D326" s="19">
        <f ca="1">IFERROR(__xludf.DUMMYFUNCTION("""COMPUTED_VALUE"""),17000)</f>
        <v>17000</v>
      </c>
      <c r="E326" s="22" t="str">
        <f ca="1">IFERROR(__xludf.DUMMYFUNCTION("""COMPUTED_VALUE"""),"https://www.tiktok.com/@erick7link?_t=ZM-8ydNo7b0EYX&amp;_r=1")</f>
        <v>https://www.tiktok.com/@erick7link?_t=ZM-8ydNo7b0EYX&amp;_r=1</v>
      </c>
      <c r="F326" s="19">
        <f ca="1">IFERROR(__xludf.DUMMYFUNCTION("""COMPUTED_VALUE"""),65000)</f>
        <v>65000</v>
      </c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>
      <c r="A327" s="21">
        <f ca="1">IFERROR(__xludf.DUMMYFUNCTION("""COMPUTED_VALUE"""),795243402)</f>
        <v>795243402</v>
      </c>
      <c r="B327" s="19" t="str">
        <f ca="1">IFERROR(__xludf.DUMMYFUNCTION("""COMPUTED_VALUE"""),"megapromos")</f>
        <v>megapromos</v>
      </c>
      <c r="C327" s="22" t="str">
        <f ca="1">IFERROR(__xludf.DUMMYFUNCTION("""COMPUTED_VALUE"""),"https://www.instagram.com/ale.slodi/")</f>
        <v>https://www.instagram.com/ale.slodi/</v>
      </c>
      <c r="D327" s="19">
        <f ca="1">IFERROR(__xludf.DUMMYFUNCTION("""COMPUTED_VALUE"""),167)</f>
        <v>167</v>
      </c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>
      <c r="A328" s="21">
        <f ca="1">IFERROR(__xludf.DUMMYFUNCTION("""COMPUTED_VALUE"""),1433463620)</f>
        <v>1433463620</v>
      </c>
      <c r="B328" s="19" t="str">
        <f ca="1">IFERROR(__xludf.DUMMYFUNCTION("""COMPUTED_VALUE"""),"girlsbugs")</f>
        <v>girlsbugs</v>
      </c>
      <c r="C328" s="22" t="str">
        <f ca="1">IFERROR(__xludf.DUMMYFUNCTION("""COMPUTED_VALUE"""),"https://www.instagram.com/girlsbugs?utm_source=qr")</f>
        <v>https://www.instagram.com/girlsbugs?utm_source=qr</v>
      </c>
      <c r="D328" s="19">
        <f ca="1">IFERROR(__xludf.DUMMYFUNCTION("""COMPUTED_VALUE"""),1154)</f>
        <v>1154</v>
      </c>
      <c r="E328" s="22" t="str">
        <f ca="1">IFERROR(__xludf.DUMMYFUNCTION("""COMPUTED_VALUE"""),"https://www.tiktok.com/@girlsbugs?_t=ZM-8xhwZTmVOVk&amp;_r=1")</f>
        <v>https://www.tiktok.com/@girlsbugs?_t=ZM-8xhwZTmVOVk&amp;_r=1</v>
      </c>
      <c r="F328" s="19">
        <f ca="1">IFERROR(__xludf.DUMMYFUNCTION("""COMPUTED_VALUE"""),664)</f>
        <v>664</v>
      </c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>
      <c r="A329" s="21">
        <f ca="1">IFERROR(__xludf.DUMMYFUNCTION("""COMPUTED_VALUE"""),5160092)</f>
        <v>5160092</v>
      </c>
      <c r="B329" s="19" t="str">
        <f ca="1">IFERROR(__xludf.DUMMYFUNCTION("""COMPUTED_VALUE"""),"divulgacaodeprodut")</f>
        <v>divulgacaodeprodut</v>
      </c>
      <c r="C329" s="22" t="str">
        <f ca="1">IFERROR(__xludf.DUMMYFUNCTION("""COMPUTED_VALUE"""),"https://www.instagram.com/desconto.legal_")</f>
        <v>https://www.instagram.com/desconto.legal_</v>
      </c>
      <c r="D329" s="19">
        <f ca="1">IFERROR(__xludf.DUMMYFUNCTION("""COMPUTED_VALUE"""),3500)</f>
        <v>3500</v>
      </c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>
      <c r="A330" s="21">
        <f ca="1">IFERROR(__xludf.DUMMYFUNCTION("""COMPUTED_VALUE"""),85514656)</f>
        <v>85514656</v>
      </c>
      <c r="B330" s="19" t="str">
        <f ca="1">IFERROR(__xludf.DUMMYFUNCTION("""COMPUTED_VALUE"""),"fernandoricci")</f>
        <v>fernandoricci</v>
      </c>
      <c r="C330" s="19" t="str">
        <f ca="1">IFERROR(__xludf.DUMMYFUNCTION("""COMPUTED_VALUE"""),"")</f>
        <v/>
      </c>
      <c r="D330" s="19" t="str">
        <f ca="1">IFERROR(__xludf.DUMMYFUNCTION("""COMPUTED_VALUE"""),"")</f>
        <v/>
      </c>
      <c r="E330" s="19" t="str">
        <f ca="1">IFERROR(__xludf.DUMMYFUNCTION("""COMPUTED_VALUE"""),"")</f>
        <v/>
      </c>
      <c r="F330" s="19" t="str">
        <f ca="1">IFERROR(__xludf.DUMMYFUNCTION("""COMPUTED_VALUE"""),"")</f>
        <v/>
      </c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>
      <c r="A331" s="21">
        <f ca="1">IFERROR(__xludf.DUMMYFUNCTION("""COMPUTED_VALUE"""),530861291)</f>
        <v>530861291</v>
      </c>
      <c r="B331" s="19" t="str">
        <f ca="1">IFERROR(__xludf.DUMMYFUNCTION("""COMPUTED_VALUE"""),"baratinos")</f>
        <v>baratinos</v>
      </c>
      <c r="C331" s="22" t="str">
        <f ca="1">IFERROR(__xludf.DUMMYFUNCTION("""COMPUTED_VALUE"""),"https://www.instagram.com/promosdobita/")</f>
        <v>https://www.instagram.com/promosdobita/</v>
      </c>
      <c r="D331" s="19">
        <f ca="1">IFERROR(__xludf.DUMMYFUNCTION("""COMPUTED_VALUE"""),1756)</f>
        <v>1756</v>
      </c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>
      <c r="A332" s="21">
        <f ca="1">IFERROR(__xludf.DUMMYFUNCTION("""COMPUTED_VALUE"""),2128288086)</f>
        <v>2128288086</v>
      </c>
      <c r="B332" s="19" t="str">
        <f ca="1">IFERROR(__xludf.DUMMYFUNCTION("""COMPUTED_VALUE"""),"luthierdouglasp")</f>
        <v>luthierdouglasp</v>
      </c>
      <c r="C332" s="19" t="str">
        <f ca="1">IFERROR(__xludf.DUMMYFUNCTION("""COMPUTED_VALUE"""),"")</f>
        <v/>
      </c>
      <c r="D332" s="19" t="str">
        <f ca="1">IFERROR(__xludf.DUMMYFUNCTION("""COMPUTED_VALUE"""),"")</f>
        <v/>
      </c>
      <c r="E332" s="19" t="str">
        <f ca="1">IFERROR(__xludf.DUMMYFUNCTION("""COMPUTED_VALUE"""),"")</f>
        <v/>
      </c>
      <c r="F332" s="19" t="str">
        <f ca="1">IFERROR(__xludf.DUMMYFUNCTION("""COMPUTED_VALUE"""),"")</f>
        <v/>
      </c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>
      <c r="A333" s="21">
        <f ca="1">IFERROR(__xludf.DUMMYFUNCTION("""COMPUTED_VALUE"""),1476281956)</f>
        <v>1476281956</v>
      </c>
      <c r="B333" s="19" t="str">
        <f ca="1">IFERROR(__xludf.DUMMYFUNCTION("""COMPUTED_VALUE"""),"juliananunes001")</f>
        <v>juliananunes001</v>
      </c>
      <c r="C333" s="19" t="str">
        <f ca="1">IFERROR(__xludf.DUMMYFUNCTION("""COMPUTED_VALUE"""),"")</f>
        <v/>
      </c>
      <c r="D333" s="19" t="str">
        <f ca="1">IFERROR(__xludf.DUMMYFUNCTION("""COMPUTED_VALUE"""),"")</f>
        <v/>
      </c>
      <c r="E333" s="19" t="str">
        <f ca="1">IFERROR(__xludf.DUMMYFUNCTION("""COMPUTED_VALUE"""),"")</f>
        <v/>
      </c>
      <c r="F333" s="19" t="str">
        <f ca="1">IFERROR(__xludf.DUMMYFUNCTION("""COMPUTED_VALUE"""),"")</f>
        <v/>
      </c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>
      <c r="A334" s="21">
        <f ca="1">IFERROR(__xludf.DUMMYFUNCTION("""COMPUTED_VALUE"""),6767693)</f>
        <v>6767693</v>
      </c>
      <c r="B334" s="19" t="str">
        <f ca="1">IFERROR(__xludf.DUMMYFUNCTION("""COMPUTED_VALUE"""),"promobkids")</f>
        <v>promobkids</v>
      </c>
      <c r="C334" s="22" t="str">
        <f ca="1">IFERROR(__xludf.DUMMYFUNCTION("""COMPUTED_VALUE"""),"www.instagram.com/pronobkids_")</f>
        <v>www.instagram.com/pronobkids_</v>
      </c>
      <c r="D334" s="19">
        <f ca="1">IFERROR(__xludf.DUMMYFUNCTION("""COMPUTED_VALUE"""),10000)</f>
        <v>10000</v>
      </c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>
      <c r="A335" s="21">
        <f ca="1">IFERROR(__xludf.DUMMYFUNCTION("""COMPUTED_VALUE"""),62758088)</f>
        <v>62758088</v>
      </c>
      <c r="B335" s="19" t="str">
        <f ca="1">IFERROR(__xludf.DUMMYFUNCTION("""COMPUTED_VALUE"""),"gatagarotafinds")</f>
        <v>gatagarotafinds</v>
      </c>
      <c r="C335" s="22" t="str">
        <f ca="1">IFERROR(__xludf.DUMMYFUNCTION("""COMPUTED_VALUE"""),"https://www.instagram.com/eusoumayssa?igsh=ZmU2czRkdXo1NHdu&amp;utm_source=qr")</f>
        <v>https://www.instagram.com/eusoumayssa?igsh=ZmU2czRkdXo1NHdu&amp;utm_source=qr</v>
      </c>
      <c r="D335" s="19">
        <f ca="1">IFERROR(__xludf.DUMMYFUNCTION("""COMPUTED_VALUE"""),66000)</f>
        <v>66000</v>
      </c>
      <c r="E335" s="22" t="str">
        <f ca="1">IFERROR(__xludf.DUMMYFUNCTION("""COMPUTED_VALUE"""),"https://www.tiktok.com/@eusoumayssa?_t=ZM-8yfNqUj2O0c&amp;_r=1")</f>
        <v>https://www.tiktok.com/@eusoumayssa?_t=ZM-8yfNqUj2O0c&amp;_r=1</v>
      </c>
      <c r="F335" s="19">
        <f ca="1">IFERROR(__xludf.DUMMYFUNCTION("""COMPUTED_VALUE"""),82200)</f>
        <v>82200</v>
      </c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>
      <c r="A336" s="21">
        <f ca="1">IFERROR(__xludf.DUMMYFUNCTION("""COMPUTED_VALUE"""),1927535724)</f>
        <v>1927535724</v>
      </c>
      <c r="B336" s="19" t="str">
        <f ca="1">IFERROR(__xludf.DUMMYFUNCTION("""COMPUTED_VALUE"""),"promogeekofertas")</f>
        <v>promogeekofertas</v>
      </c>
      <c r="C336" s="19" t="str">
        <f ca="1">IFERROR(__xludf.DUMMYFUNCTION("""COMPUTED_VALUE"""),"")</f>
        <v/>
      </c>
      <c r="D336" s="19" t="str">
        <f ca="1">IFERROR(__xludf.DUMMYFUNCTION("""COMPUTED_VALUE"""),"")</f>
        <v/>
      </c>
      <c r="E336" s="19" t="str">
        <f ca="1">IFERROR(__xludf.DUMMYFUNCTION("""COMPUTED_VALUE"""),"")</f>
        <v/>
      </c>
      <c r="F336" s="19" t="str">
        <f ca="1">IFERROR(__xludf.DUMMYFUNCTION("""COMPUTED_VALUE"""),"")</f>
        <v/>
      </c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>
      <c r="A337" s="21">
        <f ca="1">IFERROR(__xludf.DUMMYFUNCTION("""COMPUTED_VALUE"""),130484362)</f>
        <v>130484362</v>
      </c>
      <c r="B337" s="19" t="str">
        <f ca="1">IFERROR(__xludf.DUMMYFUNCTION("""COMPUTED_VALUE"""),"wanessalemosaraujo")</f>
        <v>wanessalemosaraujo</v>
      </c>
      <c r="C337" s="22" t="str">
        <f ca="1">IFERROR(__xludf.DUMMYFUNCTION("""COMPUTED_VALUE"""),"https://www.instagram.com/loucaspromocoes/")</f>
        <v>https://www.instagram.com/loucaspromocoes/</v>
      </c>
      <c r="D337" s="19">
        <f ca="1">IFERROR(__xludf.DUMMYFUNCTION("""COMPUTED_VALUE"""),12400)</f>
        <v>12400</v>
      </c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>
      <c r="A338" s="21">
        <f ca="1">IFERROR(__xludf.DUMMYFUNCTION("""COMPUTED_VALUE"""),1850405221)</f>
        <v>1850405221</v>
      </c>
      <c r="B338" s="19" t="str">
        <f ca="1">IFERROR(__xludf.DUMMYFUNCTION("""COMPUTED_VALUE"""),"gldabxd")</f>
        <v>gldabxd</v>
      </c>
      <c r="C338" s="22" t="str">
        <f ca="1">IFERROR(__xludf.DUMMYFUNCTION("""COMPUTED_VALUE"""),"https://www.instagram.com/guisouzabb?igsh=a3czcmZoemtoN2E%3D&amp;utm_source=qr")</f>
        <v>https://www.instagram.com/guisouzabb?igsh=a3czcmZoemtoN2E%3D&amp;utm_source=qr</v>
      </c>
      <c r="D338" s="19">
        <f ca="1">IFERROR(__xludf.DUMMYFUNCTION("""COMPUTED_VALUE"""),1339)</f>
        <v>1339</v>
      </c>
      <c r="E338" s="22" t="str">
        <f ca="1">IFERROR(__xludf.DUMMYFUNCTION("""COMPUTED_VALUE"""),"https://www.tiktok.com/@gldabxd?_t=ZM-90FHWzHPGuK&amp;_r=1")</f>
        <v>https://www.tiktok.com/@gldabxd?_t=ZM-90FHWzHPGuK&amp;_r=1</v>
      </c>
      <c r="F338" s="19">
        <f ca="1">IFERROR(__xludf.DUMMYFUNCTION("""COMPUTED_VALUE"""),62722)</f>
        <v>62722</v>
      </c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>
      <c r="A339" s="21">
        <f ca="1">IFERROR(__xludf.DUMMYFUNCTION("""COMPUTED_VALUE"""),83966270)</f>
        <v>83966270</v>
      </c>
      <c r="B339" s="19" t="str">
        <f ca="1">IFERROR(__xludf.DUMMYFUNCTION("""COMPUTED_VALUE"""),"ratadosachados")</f>
        <v>ratadosachados</v>
      </c>
      <c r="C339" s="22" t="str">
        <f ca="1">IFERROR(__xludf.DUMMYFUNCTION("""COMPUTED_VALUE"""),"https://www.instagram.com/ratadosachados?igsh=cDhnOW40MWZ2Y2g%3D&amp;utm_source=qr")</f>
        <v>https://www.instagram.com/ratadosachados?igsh=cDhnOW40MWZ2Y2g%3D&amp;utm_source=qr</v>
      </c>
      <c r="D339" s="19">
        <f ca="1">IFERROR(__xludf.DUMMYFUNCTION("""COMPUTED_VALUE"""),159000)</f>
        <v>159000</v>
      </c>
      <c r="E339" s="22" t="str">
        <f ca="1">IFERROR(__xludf.DUMMYFUNCTION("""COMPUTED_VALUE"""),"https://www.tiktok.com/@ratadosachados?_t=ZM-8xkQWcdOhAm&amp;_r=1")</f>
        <v>https://www.tiktok.com/@ratadosachados?_t=ZM-8xkQWcdOhAm&amp;_r=1</v>
      </c>
      <c r="F339" s="19">
        <f ca="1">IFERROR(__xludf.DUMMYFUNCTION("""COMPUTED_VALUE"""),116000)</f>
        <v>116000</v>
      </c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>
      <c r="A340" s="21">
        <f ca="1">IFERROR(__xludf.DUMMYFUNCTION("""COMPUTED_VALUE"""),1954038151)</f>
        <v>1954038151</v>
      </c>
      <c r="B340" s="19" t="str">
        <f ca="1">IFERROR(__xludf.DUMMYFUNCTION("""COMPUTED_VALUE"""),"srpromos")</f>
        <v>srpromos</v>
      </c>
      <c r="C340" s="22" t="str">
        <f ca="1">IFERROR(__xludf.DUMMYFUNCTION("""COMPUTED_VALUE"""),"https://www.instagram.com/srpromofertas")</f>
        <v>https://www.instagram.com/srpromofertas</v>
      </c>
      <c r="D340" s="19">
        <f ca="1">IFERROR(__xludf.DUMMYFUNCTION("""COMPUTED_VALUE"""),200)</f>
        <v>200</v>
      </c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>
      <c r="A341" s="21">
        <f ca="1">IFERROR(__xludf.DUMMYFUNCTION("""COMPUTED_VALUE"""),1288325538)</f>
        <v>1288325538</v>
      </c>
      <c r="B341" s="19" t="str">
        <f ca="1">IFERROR(__xludf.DUMMYFUNCTION("""COMPUTED_VALUE"""),"canaljms")</f>
        <v>canaljms</v>
      </c>
      <c r="C341" s="22" t="str">
        <f ca="1">IFERROR(__xludf.DUMMYFUNCTION("""COMPUTED_VALUE"""),"https://www.instagram.com/canaljms")</f>
        <v>https://www.instagram.com/canaljms</v>
      </c>
      <c r="D341" s="19">
        <f ca="1">IFERROR(__xludf.DUMMYFUNCTION("""COMPUTED_VALUE"""),76000)</f>
        <v>76000</v>
      </c>
      <c r="E341" s="22" t="str">
        <f ca="1">IFERROR(__xludf.DUMMYFUNCTION("""COMPUTED_VALUE"""),"https://www.tiktok.com/canaljms")</f>
        <v>https://www.tiktok.com/canaljms</v>
      </c>
      <c r="F341" s="19">
        <f ca="1">IFERROR(__xludf.DUMMYFUNCTION("""COMPUTED_VALUE"""),13000)</f>
        <v>13000</v>
      </c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>
      <c r="A342" s="21">
        <f ca="1">IFERROR(__xludf.DUMMYFUNCTION("""COMPUTED_VALUE"""),297607087)</f>
        <v>297607087</v>
      </c>
      <c r="B342" s="19" t="str">
        <f ca="1">IFERROR(__xludf.DUMMYFUNCTION("""COMPUTED_VALUE"""),"baratinhosimperdi")</f>
        <v>baratinhosimperdi</v>
      </c>
      <c r="C342" s="22" t="str">
        <f ca="1">IFERROR(__xludf.DUMMYFUNCTION("""COMPUTED_VALUE"""),"https://www.instagram.com/baratinhosimperdiveis?igsh=MWZld2lxMzM0cng3bw%3D%3D&amp;utm_source=qr")</f>
        <v>https://www.instagram.com/baratinhosimperdiveis?igsh=MWZld2lxMzM0cng3bw%3D%3D&amp;utm_source=qr</v>
      </c>
      <c r="D342" s="19">
        <f ca="1">IFERROR(__xludf.DUMMYFUNCTION("""COMPUTED_VALUE"""),253000)</f>
        <v>253000</v>
      </c>
      <c r="E342" s="22" t="str">
        <f ca="1">IFERROR(__xludf.DUMMYFUNCTION("""COMPUTED_VALUE"""),"https://www.tiktok.com/@achadosdanay.br?_t=ZM-8z92u3m73FY&amp;_r=1")</f>
        <v>https://www.tiktok.com/@achadosdanay.br?_t=ZM-8z92u3m73FY&amp;_r=1</v>
      </c>
      <c r="F342" s="19">
        <f ca="1">IFERROR(__xludf.DUMMYFUNCTION("""COMPUTED_VALUE"""),21000)</f>
        <v>21000</v>
      </c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>
      <c r="A343" s="21">
        <f ca="1">IFERROR(__xludf.DUMMYFUNCTION("""COMPUTED_VALUE"""),526807890)</f>
        <v>526807890</v>
      </c>
      <c r="B343" s="19" t="str">
        <f ca="1">IFERROR(__xludf.DUMMYFUNCTION("""COMPUTED_VALUE"""),"achadinhosdaline")</f>
        <v>achadinhosdaline</v>
      </c>
      <c r="C343" s="22" t="str">
        <f ca="1">IFERROR(__xludf.DUMMYFUNCTION("""COMPUTED_VALUE"""),"https://www.instagram.com/achadinhosdegarotasoficial?igsh=MTFnNjM3dWFhc2FhcQ=")</f>
        <v>https://www.instagram.com/achadinhosdegarotasoficial?igsh=MTFnNjM3dWFhc2FhcQ=</v>
      </c>
      <c r="D343" s="19">
        <f ca="1">IFERROR(__xludf.DUMMYFUNCTION("""COMPUTED_VALUE"""),400000)</f>
        <v>400000</v>
      </c>
      <c r="E343" s="22" t="str">
        <f ca="1">IFERROR(__xludf.DUMMYFUNCTION("""COMPUTED_VALUE"""),"https://www.tiktok.com/@alinesouza.cs?_t=ZM-8xhjpMfc3TJ&amp;_r=1")</f>
        <v>https://www.tiktok.com/@alinesouza.cs?_t=ZM-8xhjpMfc3TJ&amp;_r=1</v>
      </c>
      <c r="F343" s="19">
        <f ca="1">IFERROR(__xludf.DUMMYFUNCTION("""COMPUTED_VALUE"""),5000)</f>
        <v>5000</v>
      </c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>
      <c r="A344" s="21">
        <f ca="1">IFERROR(__xludf.DUMMYFUNCTION("""COMPUTED_VALUE"""),241322914)</f>
        <v>241322914</v>
      </c>
      <c r="B344" s="19" t="str">
        <f ca="1">IFERROR(__xludf.DUMMYFUNCTION("""COMPUTED_VALUE"""),"promobaby")</f>
        <v>promobaby</v>
      </c>
      <c r="C344" s="22" t="str">
        <f ca="1">IFERROR(__xludf.DUMMYFUNCTION("""COMPUTED_VALUE"""),"https://www.instagram.com/promobabyoficial")</f>
        <v>https://www.instagram.com/promobabyoficial</v>
      </c>
      <c r="D344" s="19">
        <f ca="1">IFERROR(__xludf.DUMMYFUNCTION("""COMPUTED_VALUE"""),124541)</f>
        <v>124541</v>
      </c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>
      <c r="A345" s="21">
        <f ca="1">IFERROR(__xludf.DUMMYFUNCTION("""COMPUTED_VALUE"""),183117136)</f>
        <v>183117136</v>
      </c>
      <c r="B345" s="19" t="str">
        <f ca="1">IFERROR(__xludf.DUMMYFUNCTION("""COMPUTED_VALUE"""),"luanadeodatolima")</f>
        <v>luanadeodatolima</v>
      </c>
      <c r="C345" s="22" t="str">
        <f ca="1">IFERROR(__xludf.DUMMYFUNCTION("""COMPUTED_VALUE"""),"https://www.instagram.com/glpromocoes_?igsh=MWUyNWRvdnJuMmdnOA==")</f>
        <v>https://www.instagram.com/glpromocoes_?igsh=MWUyNWRvdnJuMmdnOA==</v>
      </c>
      <c r="D345" s="19">
        <f ca="1">IFERROR(__xludf.DUMMYFUNCTION("""COMPUTED_VALUE"""),173000)</f>
        <v>173000</v>
      </c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>
      <c r="A346" s="21">
        <f ca="1">IFERROR(__xludf.DUMMYFUNCTION("""COMPUTED_VALUE"""),287197163)</f>
        <v>287197163</v>
      </c>
      <c r="B346" s="19" t="str">
        <f ca="1">IFERROR(__xludf.DUMMYFUNCTION("""COMPUTED_VALUE"""),"achamosparavc")</f>
        <v>achamosparavc</v>
      </c>
      <c r="C346" s="19" t="str">
        <f ca="1">IFERROR(__xludf.DUMMYFUNCTION("""COMPUTED_VALUE"""),"")</f>
        <v/>
      </c>
      <c r="D346" s="19" t="str">
        <f ca="1">IFERROR(__xludf.DUMMYFUNCTION("""COMPUTED_VALUE"""),"")</f>
        <v/>
      </c>
      <c r="E346" s="19" t="str">
        <f ca="1">IFERROR(__xludf.DUMMYFUNCTION("""COMPUTED_VALUE"""),"")</f>
        <v/>
      </c>
      <c r="F346" s="19" t="str">
        <f ca="1">IFERROR(__xludf.DUMMYFUNCTION("""COMPUTED_VALUE"""),"")</f>
        <v/>
      </c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>
      <c r="A347" s="21">
        <f ca="1">IFERROR(__xludf.DUMMYFUNCTION("""COMPUTED_VALUE"""),757367286)</f>
        <v>757367286</v>
      </c>
      <c r="B347" s="19" t="str">
        <f ca="1">IFERROR(__xludf.DUMMYFUNCTION("""COMPUTED_VALUE"""),"larissamarques")</f>
        <v>larissamarques</v>
      </c>
      <c r="C347" s="22" t="str">
        <f ca="1">IFERROR(__xludf.DUMMYFUNCTION("""COMPUTED_VALUE"""),"https://www.instagram.com/garotasdaspromo/")</f>
        <v>https://www.instagram.com/garotasdaspromo/</v>
      </c>
      <c r="D347" s="19">
        <f ca="1">IFERROR(__xludf.DUMMYFUNCTION("""COMPUTED_VALUE"""),200000)</f>
        <v>200000</v>
      </c>
      <c r="E347" s="22" t="str">
        <f ca="1">IFERROR(__xludf.DUMMYFUNCTION("""COMPUTED_VALUE"""),"https://www.tiktok.com/@lariiimarqs?_t=ZM-8ydNum5sJyH&amp;_r=1")</f>
        <v>https://www.tiktok.com/@lariiimarqs?_t=ZM-8ydNum5sJyH&amp;_r=1</v>
      </c>
      <c r="F347" s="19">
        <f ca="1">IFERROR(__xludf.DUMMYFUNCTION("""COMPUTED_VALUE"""),36770)</f>
        <v>36770</v>
      </c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>
      <c r="A348" s="21">
        <f ca="1">IFERROR(__xludf.DUMMYFUNCTION("""COMPUTED_VALUE"""),1385148205)</f>
        <v>1385148205</v>
      </c>
      <c r="B348" s="19" t="str">
        <f ca="1">IFERROR(__xludf.DUMMYFUNCTION("""COMPUTED_VALUE"""),"afgg")</f>
        <v>afgg</v>
      </c>
      <c r="C348" s="19" t="str">
        <f ca="1">IFERROR(__xludf.DUMMYFUNCTION("""COMPUTED_VALUE"""),"")</f>
        <v/>
      </c>
      <c r="D348" s="19" t="str">
        <f ca="1">IFERROR(__xludf.DUMMYFUNCTION("""COMPUTED_VALUE"""),"")</f>
        <v/>
      </c>
      <c r="E348" s="19" t="str">
        <f ca="1">IFERROR(__xludf.DUMMYFUNCTION("""COMPUTED_VALUE"""),"")</f>
        <v/>
      </c>
      <c r="F348" s="19" t="str">
        <f ca="1">IFERROR(__xludf.DUMMYFUNCTION("""COMPUTED_VALUE"""),"")</f>
        <v/>
      </c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>
      <c r="A349" s="21">
        <f ca="1">IFERROR(__xludf.DUMMYFUNCTION("""COMPUTED_VALUE"""),231841011)</f>
        <v>231841011</v>
      </c>
      <c r="B349" s="19" t="str">
        <f ca="1">IFERROR(__xludf.DUMMYFUNCTION("""COMPUTED_VALUE"""),"thatynhaal")</f>
        <v>thatynhaal</v>
      </c>
      <c r="C349" s="19" t="str">
        <f ca="1">IFERROR(__xludf.DUMMYFUNCTION("""COMPUTED_VALUE"""),"")</f>
        <v/>
      </c>
      <c r="D349" s="19" t="str">
        <f ca="1">IFERROR(__xludf.DUMMYFUNCTION("""COMPUTED_VALUE"""),"")</f>
        <v/>
      </c>
      <c r="E349" s="19" t="str">
        <f ca="1">IFERROR(__xludf.DUMMYFUNCTION("""COMPUTED_VALUE"""),"")</f>
        <v/>
      </c>
      <c r="F349" s="19" t="str">
        <f ca="1">IFERROR(__xludf.DUMMYFUNCTION("""COMPUTED_VALUE"""),"")</f>
        <v/>
      </c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>
      <c r="A350" s="21">
        <f ca="1">IFERROR(__xludf.DUMMYFUNCTION("""COMPUTED_VALUE"""),65781822)</f>
        <v>65781822</v>
      </c>
      <c r="B350" s="19" t="str">
        <f ca="1">IFERROR(__xludf.DUMMYFUNCTION("""COMPUTED_VALUE"""),"rafinhageekantenado")</f>
        <v>rafinhageekantenado</v>
      </c>
      <c r="C350" s="19" t="str">
        <f ca="1">IFERROR(__xludf.DUMMYFUNCTION("""COMPUTED_VALUE"""),"")</f>
        <v/>
      </c>
      <c r="D350" s="19" t="str">
        <f ca="1">IFERROR(__xludf.DUMMYFUNCTION("""COMPUTED_VALUE"""),"")</f>
        <v/>
      </c>
      <c r="E350" s="19" t="str">
        <f ca="1">IFERROR(__xludf.DUMMYFUNCTION("""COMPUTED_VALUE"""),"")</f>
        <v/>
      </c>
      <c r="F350" s="19" t="str">
        <f ca="1">IFERROR(__xludf.DUMMYFUNCTION("""COMPUTED_VALUE"""),"")</f>
        <v/>
      </c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>
      <c r="A351" s="21">
        <f ca="1">IFERROR(__xludf.DUMMYFUNCTION("""COMPUTED_VALUE"""),389626545)</f>
        <v>389626545</v>
      </c>
      <c r="B351" s="19" t="str">
        <f ca="1">IFERROR(__xludf.DUMMYFUNCTION("""COMPUTED_VALUE"""),"hellenhcristina2")</f>
        <v>hellenhcristina2</v>
      </c>
      <c r="C351" s="22" t="str">
        <f ca="1">IFERROR(__xludf.DUMMYFUNCTION("""COMPUTED_VALUE"""),"https://www.instagram.com/achadinhos.enxovalbebeemamae?igsh=MWZyeGQ2dHg1M2M4dg%3D%3D&amp;utm_source=qr")</f>
        <v>https://www.instagram.com/achadinhos.enxovalbebeemamae?igsh=MWZyeGQ2dHg1M2M4dg%3D%3D&amp;utm_source=qr</v>
      </c>
      <c r="D351" s="19">
        <f ca="1">IFERROR(__xludf.DUMMYFUNCTION("""COMPUTED_VALUE"""),21100)</f>
        <v>21100</v>
      </c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>
      <c r="A352" s="21">
        <f ca="1">IFERROR(__xludf.DUMMYFUNCTION("""COMPUTED_VALUE"""),199937377)</f>
        <v>199937377</v>
      </c>
      <c r="B352" s="19" t="str">
        <f ca="1">IFERROR(__xludf.DUMMYFUNCTION("""COMPUTED_VALUE"""),"reviews_curtinhas")</f>
        <v>reviews_curtinhas</v>
      </c>
      <c r="C352" s="22" t="str">
        <f ca="1">IFERROR(__xludf.DUMMYFUNCTION("""COMPUTED_VALUE"""),"https://www.youtube.com/@ReviewsCurtinhas")</f>
        <v>https://www.youtube.com/@ReviewsCurtinhas</v>
      </c>
      <c r="D352" s="19">
        <f ca="1">IFERROR(__xludf.DUMMYFUNCTION("""COMPUTED_VALUE"""),10700)</f>
        <v>10700</v>
      </c>
      <c r="E352" s="22" t="str">
        <f ca="1">IFERROR(__xludf.DUMMYFUNCTION("""COMPUTED_VALUE"""),"https://www.tiktok.com/@reviewscurtinhas")</f>
        <v>https://www.tiktok.com/@reviewscurtinhas</v>
      </c>
      <c r="F352" s="19">
        <f ca="1">IFERROR(__xludf.DUMMYFUNCTION("""COMPUTED_VALUE"""),1700)</f>
        <v>1700</v>
      </c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>
      <c r="A353" s="21">
        <f ca="1">IFERROR(__xludf.DUMMYFUNCTION("""COMPUTED_VALUE"""),512970471)</f>
        <v>512970471</v>
      </c>
      <c r="B353" s="19" t="str">
        <f ca="1">IFERROR(__xludf.DUMMYFUNCTION("""COMPUTED_VALUE"""),"achadinhodeverdade")</f>
        <v>achadinhodeverdade</v>
      </c>
      <c r="C353" s="22" t="str">
        <f ca="1">IFERROR(__xludf.DUMMYFUNCTION("""COMPUTED_VALUE"""),"https://www.instagram.com/achadinhodeverdade?igsh=MXBnamo2aG9lOW9yOQ==")</f>
        <v>https://www.instagram.com/achadinhodeverdade?igsh=MXBnamo2aG9lOW9yOQ==</v>
      </c>
      <c r="D353" s="19">
        <f ca="1">IFERROR(__xludf.DUMMYFUNCTION("""COMPUTED_VALUE"""),990000)</f>
        <v>990000</v>
      </c>
      <c r="E353" s="22" t="str">
        <f ca="1">IFERROR(__xludf.DUMMYFUNCTION("""COMPUTED_VALUE"""),"https://www.tiktok.com/@achadinhodeverdade?_t=ZM-8xjGOhaozeH&amp;_r=1")</f>
        <v>https://www.tiktok.com/@achadinhodeverdade?_t=ZM-8xjGOhaozeH&amp;_r=1</v>
      </c>
      <c r="F353" s="19">
        <f ca="1">IFERROR(__xludf.DUMMYFUNCTION("""COMPUTED_VALUE"""),68500)</f>
        <v>68500</v>
      </c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>
      <c r="A354" s="21">
        <f ca="1">IFERROR(__xludf.DUMMYFUNCTION("""COMPUTED_VALUE"""),1465247461)</f>
        <v>1465247461</v>
      </c>
      <c r="B354" s="19" t="str">
        <f ca="1">IFERROR(__xludf.DUMMYFUNCTION("""COMPUTED_VALUE"""),"descontaobh")</f>
        <v>descontaobh</v>
      </c>
      <c r="C354" s="22" t="str">
        <f ca="1">IFERROR(__xludf.DUMMYFUNCTION("""COMPUTED_VALUE"""),"https://www.instagram.com/brdescontao/")</f>
        <v>https://www.instagram.com/brdescontao/</v>
      </c>
      <c r="D354" s="19">
        <f ca="1">IFERROR(__xludf.DUMMYFUNCTION("""COMPUTED_VALUE"""),103000)</f>
        <v>103000</v>
      </c>
      <c r="E354" s="22" t="str">
        <f ca="1">IFERROR(__xludf.DUMMYFUNCTION("""COMPUTED_VALUE"""),"https://www.tiktok.com/@br_descontao")</f>
        <v>https://www.tiktok.com/@br_descontao</v>
      </c>
      <c r="F354" s="19">
        <f ca="1">IFERROR(__xludf.DUMMYFUNCTION("""COMPUTED_VALUE"""),17)</f>
        <v>17</v>
      </c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>
      <c r="A355" s="21">
        <f ca="1">IFERROR(__xludf.DUMMYFUNCTION("""COMPUTED_VALUE"""),2009130689)</f>
        <v>2009130689</v>
      </c>
      <c r="B355" s="19" t="str">
        <f ca="1">IFERROR(__xludf.DUMMYFUNCTION("""COMPUTED_VALUE"""),"promokds")</f>
        <v>promokds</v>
      </c>
      <c r="C355" s="22" t="str">
        <f ca="1">IFERROR(__xludf.DUMMYFUNCTION("""COMPUTED_VALUE"""),"https://www.instagram.com/promocao_kids_brasil?igsh=dnp2ZGdxY2MwaHRk")</f>
        <v>https://www.instagram.com/promocao_kids_brasil?igsh=dnp2ZGdxY2MwaHRk</v>
      </c>
      <c r="D355" s="19">
        <f ca="1">IFERROR(__xludf.DUMMYFUNCTION("""COMPUTED_VALUE"""),260000)</f>
        <v>260000</v>
      </c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>
      <c r="A356" s="21">
        <f ca="1">IFERROR(__xludf.DUMMYFUNCTION("""COMPUTED_VALUE"""),1437278515)</f>
        <v>1437278515</v>
      </c>
      <c r="B356" s="19" t="str">
        <f ca="1">IFERROR(__xludf.DUMMYFUNCTION("""COMPUTED_VALUE"""),"cuponect")</f>
        <v>cuponect</v>
      </c>
      <c r="C356" s="22" t="str">
        <f ca="1">IFERROR(__xludf.DUMMYFUNCTION("""COMPUTED_VALUE"""),"https://www.instagram.com/loucaspromocoes/")</f>
        <v>https://www.instagram.com/loucaspromocoes/</v>
      </c>
      <c r="D356" s="19">
        <f ca="1">IFERROR(__xludf.DUMMYFUNCTION("""COMPUTED_VALUE"""),12500)</f>
        <v>12500</v>
      </c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>
      <c r="A357" s="21">
        <f ca="1">IFERROR(__xludf.DUMMYFUNCTION("""COMPUTED_VALUE"""),1377796369)</f>
        <v>1377796369</v>
      </c>
      <c r="B357" s="19" t="str">
        <f ca="1">IFERROR(__xludf.DUMMYFUNCTION("""COMPUTED_VALUE"""),"costaester20230518184738")</f>
        <v>costaester20230518184738</v>
      </c>
      <c r="C357" s="22" t="str">
        <f ca="1">IFERROR(__xludf.DUMMYFUNCTION("""COMPUTED_VALUE"""),"https://www.instagram.com/ky.ster1?igsh=MTl1YmxkNDV0enhqaA==")</f>
        <v>https://www.instagram.com/ky.ster1?igsh=MTl1YmxkNDV0enhqaA==</v>
      </c>
      <c r="D357" s="19">
        <f ca="1">IFERROR(__xludf.DUMMYFUNCTION("""COMPUTED_VALUE"""),5000)</f>
        <v>5000</v>
      </c>
      <c r="E357" s="22" t="str">
        <f ca="1">IFERROR(__xludf.DUMMYFUNCTION("""COMPUTED_VALUE"""),"https://www.tiktok.com/@achadinhos_loversdicas?_t=ZM-8xfx1uNhFTU&amp;_r=1")</f>
        <v>https://www.tiktok.com/@achadinhos_loversdicas?_t=ZM-8xfx1uNhFTU&amp;_r=1</v>
      </c>
      <c r="F357" s="19">
        <f ca="1">IFERROR(__xludf.DUMMYFUNCTION("""COMPUTED_VALUE"""),7200)</f>
        <v>7200</v>
      </c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>
      <c r="A358" s="21">
        <f ca="1">IFERROR(__xludf.DUMMYFUNCTION("""COMPUTED_VALUE"""),237569801)</f>
        <v>237569801</v>
      </c>
      <c r="B358" s="19" t="str">
        <f ca="1">IFERROR(__xludf.DUMMYFUNCTION("""COMPUTED_VALUE"""),"wendelldelgado")</f>
        <v>wendelldelgado</v>
      </c>
      <c r="C358" s="19" t="str">
        <f ca="1">IFERROR(__xludf.DUMMYFUNCTION("""COMPUTED_VALUE"""),"")</f>
        <v/>
      </c>
      <c r="D358" s="19" t="str">
        <f ca="1">IFERROR(__xludf.DUMMYFUNCTION("""COMPUTED_VALUE"""),"")</f>
        <v/>
      </c>
      <c r="E358" s="19" t="str">
        <f ca="1">IFERROR(__xludf.DUMMYFUNCTION("""COMPUTED_VALUE"""),"")</f>
        <v/>
      </c>
      <c r="F358" s="19" t="str">
        <f ca="1">IFERROR(__xludf.DUMMYFUNCTION("""COMPUTED_VALUE"""),"")</f>
        <v/>
      </c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>
      <c r="A359" s="21">
        <f ca="1">IFERROR(__xludf.DUMMYFUNCTION("""COMPUTED_VALUE"""),1871694076)</f>
        <v>1871694076</v>
      </c>
      <c r="B359" s="19" t="str">
        <f ca="1">IFERROR(__xludf.DUMMYFUNCTION("""COMPUTED_VALUE"""),"opromoshow")</f>
        <v>opromoshow</v>
      </c>
      <c r="C359" s="22" t="str">
        <f ca="1">IFERROR(__xludf.DUMMYFUNCTION("""COMPUTED_VALUE"""),"https://www.instagram.com/promoshow33?igsh=aTdxdGcyM3hqMTU3")</f>
        <v>https://www.instagram.com/promoshow33?igsh=aTdxdGcyM3hqMTU3</v>
      </c>
      <c r="D359" s="19">
        <f ca="1">IFERROR(__xludf.DUMMYFUNCTION("""COMPUTED_VALUE"""),2000)</f>
        <v>2000</v>
      </c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>
      <c r="A360" s="21">
        <f ca="1">IFERROR(__xludf.DUMMYFUNCTION("""COMPUTED_VALUE"""),1821745541)</f>
        <v>1821745541</v>
      </c>
      <c r="B360" s="19" t="str">
        <f ca="1">IFERROR(__xludf.DUMMYFUNCTION("""COMPUTED_VALUE"""),"flashpromo")</f>
        <v>flashpromo</v>
      </c>
      <c r="C360" s="22" t="str">
        <f ca="1">IFERROR(__xludf.DUMMYFUNCTION("""COMPUTED_VALUE"""),"https://www.instagram.com/cariocapromocoes")</f>
        <v>https://www.instagram.com/cariocapromocoes</v>
      </c>
      <c r="D360" s="19">
        <f ca="1">IFERROR(__xludf.DUMMYFUNCTION("""COMPUTED_VALUE"""),862)</f>
        <v>862</v>
      </c>
      <c r="E360" s="22" t="str">
        <f ca="1">IFERROR(__xludf.DUMMYFUNCTION("""COMPUTED_VALUE"""),"https://www.tiktok.com/@carioca.tech")</f>
        <v>https://www.tiktok.com/@carioca.tech</v>
      </c>
      <c r="F360" s="19">
        <f ca="1">IFERROR(__xludf.DUMMYFUNCTION("""COMPUTED_VALUE"""),10000)</f>
        <v>10000</v>
      </c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>
      <c r="A361" s="21">
        <f ca="1">IFERROR(__xludf.DUMMYFUNCTION("""COMPUTED_VALUE"""),1572653489)</f>
        <v>1572653489</v>
      </c>
      <c r="B361" s="19" t="str">
        <f ca="1">IFERROR(__xludf.DUMMYFUNCTION("""COMPUTED_VALUE"""),"cacadoresdeofertas")</f>
        <v>cacadoresdeofertas</v>
      </c>
      <c r="C361" s="22" t="str">
        <f ca="1">IFERROR(__xludf.DUMMYFUNCTION("""COMPUTED_VALUE"""),"https://www.instagram.com/umamaedentista_?igsh=MXdyZXdmM3VzbDd4cA==")</f>
        <v>https://www.instagram.com/umamaedentista_?igsh=MXdyZXdmM3VzbDd4cA==</v>
      </c>
      <c r="D361" s="19">
        <f ca="1">IFERROR(__xludf.DUMMYFUNCTION("""COMPUTED_VALUE"""),3500)</f>
        <v>3500</v>
      </c>
      <c r="E361" s="22" t="str">
        <f ca="1">IFERROR(__xludf.DUMMYFUNCTION("""COMPUTED_VALUE"""),"https://www.tiktok.com/@stela.nunes4?_t=ZM-8ygkqsmkROi&amp;_r=1")</f>
        <v>https://www.tiktok.com/@stela.nunes4?_t=ZM-8ygkqsmkROi&amp;_r=1</v>
      </c>
      <c r="F361" s="19">
        <f ca="1">IFERROR(__xludf.DUMMYFUNCTION("""COMPUTED_VALUE"""),34)</f>
        <v>34</v>
      </c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>
      <c r="A362" s="21">
        <f ca="1">IFERROR(__xludf.DUMMYFUNCTION("""COMPUTED_VALUE"""),6867385)</f>
        <v>6867385</v>
      </c>
      <c r="B362" s="19" t="str">
        <f ca="1">IFERROR(__xludf.DUMMYFUNCTION("""COMPUTED_VALUE"""),"ofertasml")</f>
        <v>ofertasml</v>
      </c>
      <c r="C362" s="22" t="str">
        <f ca="1">IFERROR(__xludf.DUMMYFUNCTION("""COMPUTED_VALUE"""),"https://www.facebook.com/share/g/1AvFpiL86T/?mibextid=wwXIfr")</f>
        <v>https://www.facebook.com/share/g/1AvFpiL86T/?mibextid=wwXIfr</v>
      </c>
      <c r="D362" s="19">
        <f ca="1">IFERROR(__xludf.DUMMYFUNCTION("""COMPUTED_VALUE"""),400000)</f>
        <v>400000</v>
      </c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>
      <c r="A363" s="21">
        <f ca="1">IFERROR(__xludf.DUMMYFUNCTION("""COMPUTED_VALUE"""),1707015680)</f>
        <v>1707015680</v>
      </c>
      <c r="B363" s="19" t="str">
        <f ca="1">IFERROR(__xludf.DUMMYFUNCTION("""COMPUTED_VALUE"""),"outlanderFishingequip")</f>
        <v>outlanderFishingequip</v>
      </c>
      <c r="C363" s="22" t="str">
        <f ca="1">IFERROR(__xludf.DUMMYFUNCTION("""COMPUTED_VALUE"""),"https://www.instagram.com/outlanderpescaesportiva?igsh=YTFhM203MnIydDFi&amp;utm_source=qr")</f>
        <v>https://www.instagram.com/outlanderpescaesportiva?igsh=YTFhM203MnIydDFi&amp;utm_source=qr</v>
      </c>
      <c r="D363" s="19">
        <f ca="1">IFERROR(__xludf.DUMMYFUNCTION("""COMPUTED_VALUE"""),4100)</f>
        <v>4100</v>
      </c>
      <c r="E363" s="19"/>
      <c r="F363" s="19">
        <f ca="1">IFERROR(__xludf.DUMMYFUNCTION("""COMPUTED_VALUE"""),0)</f>
        <v>0</v>
      </c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>
      <c r="A364" s="21">
        <f ca="1">IFERROR(__xludf.DUMMYFUNCTION("""COMPUTED_VALUE"""),2313173804)</f>
        <v>2313173804</v>
      </c>
      <c r="B364" s="19" t="str">
        <f ca="1">IFERROR(__xludf.DUMMYFUNCTION("""COMPUTED_VALUE"""),"achadoospromo")</f>
        <v>achadoospromo</v>
      </c>
      <c r="C364" s="22" t="str">
        <f ca="1">IFERROR(__xludf.DUMMYFUNCTION("""COMPUTED_VALUE"""),"https://www.instagram.com/achadoospromo?igsh=ZHF2bm0xMWRzcGcz&amp;utm_source=qr")</f>
        <v>https://www.instagram.com/achadoospromo?igsh=ZHF2bm0xMWRzcGcz&amp;utm_source=qr</v>
      </c>
      <c r="D364" s="19">
        <f ca="1">IFERROR(__xludf.DUMMYFUNCTION("""COMPUTED_VALUE"""),38900)</f>
        <v>38900</v>
      </c>
      <c r="E364" s="22" t="str">
        <f ca="1">IFERROR(__xludf.DUMMYFUNCTION("""COMPUTED_VALUE"""),"https://www.tiktok.com/@karinacepellos?_t=ZM-8ydP3zUXpyv&amp;_r=1")</f>
        <v>https://www.tiktok.com/@karinacepellos?_t=ZM-8ydP3zUXpyv&amp;_r=1</v>
      </c>
      <c r="F364" s="19">
        <f ca="1">IFERROR(__xludf.DUMMYFUNCTION("""COMPUTED_VALUE"""),13400)</f>
        <v>13400</v>
      </c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>
      <c r="A365" s="21">
        <f ca="1">IFERROR(__xludf.DUMMYFUNCTION("""COMPUTED_VALUE"""),1987552500)</f>
        <v>1987552500</v>
      </c>
      <c r="B365" s="19" t="str">
        <f ca="1">IFERROR(__xludf.DUMMYFUNCTION("""COMPUTED_VALUE"""),"garagemdoinventor")</f>
        <v>garagemdoinventor</v>
      </c>
      <c r="C365" s="22" t="str">
        <f ca="1">IFERROR(__xludf.DUMMYFUNCTION("""COMPUTED_VALUE"""),"https://www.instagram.com/garagemdoinventor/")</f>
        <v>https://www.instagram.com/garagemdoinventor/</v>
      </c>
      <c r="D365" s="19">
        <f ca="1">IFERROR(__xludf.DUMMYFUNCTION("""COMPUTED_VALUE"""),5000)</f>
        <v>5000</v>
      </c>
      <c r="E365" s="22" t="str">
        <f ca="1">IFERROR(__xludf.DUMMYFUNCTION("""COMPUTED_VALUE"""),"https://www.tiktok.com/@garagemdoinventor")</f>
        <v>https://www.tiktok.com/@garagemdoinventor</v>
      </c>
      <c r="F365" s="19">
        <f ca="1">IFERROR(__xludf.DUMMYFUNCTION("""COMPUTED_VALUE"""),3)</f>
        <v>3</v>
      </c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>
      <c r="A366" s="21">
        <f ca="1">IFERROR(__xludf.DUMMYFUNCTION("""COMPUTED_VALUE"""),531037651)</f>
        <v>531037651</v>
      </c>
      <c r="B366" s="19" t="str">
        <f ca="1">IFERROR(__xludf.DUMMYFUNCTION("""COMPUTED_VALUE"""),"felipespacebike")</f>
        <v>felipespacebike</v>
      </c>
      <c r="C366" s="22" t="str">
        <f ca="1">IFERROR(__xludf.DUMMYFUNCTION("""COMPUTED_VALUE"""),"https://www.instagram.com/spacebikeoficial?igsh=NDI2aWNxYXdqeWht&amp;utm_source=qr")</f>
        <v>https://www.instagram.com/spacebikeoficial?igsh=NDI2aWNxYXdqeWht&amp;utm_source=qr</v>
      </c>
      <c r="D366" s="19">
        <f ca="1">IFERROR(__xludf.DUMMYFUNCTION("""COMPUTED_VALUE"""),252000)</f>
        <v>252000</v>
      </c>
      <c r="E366" s="22" t="str">
        <f ca="1">IFERROR(__xludf.DUMMYFUNCTION("""COMPUTED_VALUE"""),"https://www.tiktok.com/@spacebikeoficial?_t=ZM-8ydVpGhYWNK&amp;_r=1")</f>
        <v>https://www.tiktok.com/@spacebikeoficial?_t=ZM-8ydVpGhYWNK&amp;_r=1</v>
      </c>
      <c r="F366" s="19">
        <f ca="1">IFERROR(__xludf.DUMMYFUNCTION("""COMPUTED_VALUE"""),204000)</f>
        <v>204000</v>
      </c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>
      <c r="A367" s="21">
        <f ca="1">IFERROR(__xludf.DUMMYFUNCTION("""COMPUTED_VALUE"""),2016904512)</f>
        <v>2016904512</v>
      </c>
      <c r="B367" s="19" t="str">
        <f ca="1">IFERROR(__xludf.DUMMYFUNCTION("""COMPUTED_VALUE"""),"gt20241001193656")</f>
        <v>gt20241001193656</v>
      </c>
      <c r="C367" s="22" t="str">
        <f ca="1">IFERROR(__xludf.DUMMYFUNCTION("""COMPUTED_VALUE"""),"https://www.instagram.com/tatianebnunes?igsh=d2F4MWY2NWsyaDhn454")</f>
        <v>https://www.instagram.com/tatianebnunes?igsh=d2F4MWY2NWsyaDhn454</v>
      </c>
      <c r="D367" s="19">
        <f ca="1">IFERROR(__xludf.DUMMYFUNCTION("""COMPUTED_VALUE"""),454)</f>
        <v>454</v>
      </c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>
      <c r="A368" s="21">
        <f ca="1">IFERROR(__xludf.DUMMYFUNCTION("""COMPUTED_VALUE"""),2200130866)</f>
        <v>2200130866</v>
      </c>
      <c r="B368" s="19" t="str">
        <f ca="1">IFERROR(__xludf.DUMMYFUNCTION("""COMPUTED_VALUE"""),"od20250107113353")</f>
        <v>od20250107113353</v>
      </c>
      <c r="C368" s="22" t="str">
        <f ca="1">IFERROR(__xludf.DUMMYFUNCTION("""COMPUTED_VALUE"""),"https://www.instagram.com/descontofamiliaoficial/")</f>
        <v>https://www.instagram.com/descontofamiliaoficial/</v>
      </c>
      <c r="D368" s="19">
        <f ca="1">IFERROR(__xludf.DUMMYFUNCTION("""COMPUTED_VALUE"""),3000)</f>
        <v>3000</v>
      </c>
      <c r="E368" s="19" t="str">
        <f ca="1">IFERROR(__xludf.DUMMYFUNCTION("""COMPUTED_VALUE"""),"https://www.instagram.com/descontofamiliaoficial/ nao tenho")</f>
        <v>https://www.instagram.com/descontofamiliaoficial/ nao tenho</v>
      </c>
      <c r="F368" s="19">
        <f ca="1">IFERROR(__xludf.DUMMYFUNCTION("""COMPUTED_VALUE"""),0)</f>
        <v>0</v>
      </c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>
      <c r="A369" s="21">
        <f ca="1">IFERROR(__xludf.DUMMYFUNCTION("""COMPUTED_VALUE"""),349396208)</f>
        <v>349396208</v>
      </c>
      <c r="B369" s="19" t="str">
        <f ca="1">IFERROR(__xludf.DUMMYFUNCTION("""COMPUTED_VALUE"""),"grunobabriel")</f>
        <v>grunobabriel</v>
      </c>
      <c r="C369" s="22" t="str">
        <f ca="1">IFERROR(__xludf.DUMMYFUNCTION("""COMPUTED_VALUE"""),"https://www.instagram.com/gu.gdn?igsh=MTVzbnIxMHZqamgzeA==")</f>
        <v>https://www.instagram.com/gu.gdn?igsh=MTVzbnIxMHZqamgzeA==</v>
      </c>
      <c r="D369" s="19">
        <f ca="1">IFERROR(__xludf.DUMMYFUNCTION("""COMPUTED_VALUE"""),100000)</f>
        <v>100000</v>
      </c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>
      <c r="A370" s="21">
        <f ca="1">IFERROR(__xludf.DUMMYFUNCTION("""COMPUTED_VALUE"""),262663582)</f>
        <v>262663582</v>
      </c>
      <c r="B370" s="19" t="str">
        <f ca="1">IFERROR(__xludf.DUMMYFUNCTION("""COMPUTED_VALUE"""),"atipicostore")</f>
        <v>atipicostore</v>
      </c>
      <c r="C370" s="22" t="str">
        <f ca="1">IFERROR(__xludf.DUMMYFUNCTION("""COMPUTED_VALUE"""),"https://www.instagram.com/rainhadobugueepromos/")</f>
        <v>https://www.instagram.com/rainhadobugueepromos/</v>
      </c>
      <c r="D370" s="19">
        <f ca="1">IFERROR(__xludf.DUMMYFUNCTION("""COMPUTED_VALUE"""),8443)</f>
        <v>8443</v>
      </c>
      <c r="E370" s="22" t="str">
        <f ca="1">IFERROR(__xludf.DUMMYFUNCTION("""COMPUTED_VALUE"""),"https://www.tiktok.com/@owaguim")</f>
        <v>https://www.tiktok.com/@owaguim</v>
      </c>
      <c r="F370" s="19">
        <f ca="1">IFERROR(__xludf.DUMMYFUNCTION("""COMPUTED_VALUE"""),20000)</f>
        <v>20000</v>
      </c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>
      <c r="A371" s="21">
        <f ca="1">IFERROR(__xludf.DUMMYFUNCTION("""COMPUTED_VALUE"""),303223557)</f>
        <v>303223557</v>
      </c>
      <c r="B371" s="19" t="str">
        <f ca="1">IFERROR(__xludf.DUMMYFUNCTION("""COMPUTED_VALUE"""),"promosdamih")</f>
        <v>promosdamih</v>
      </c>
      <c r="C371" s="22" t="str">
        <f ca="1">IFERROR(__xludf.DUMMYFUNCTION("""COMPUTED_VALUE"""),"https://www.instagram.com/elly.indica")</f>
        <v>https://www.instagram.com/elly.indica</v>
      </c>
      <c r="D371" s="19">
        <f ca="1">IFERROR(__xludf.DUMMYFUNCTION("""COMPUTED_VALUE"""),7500)</f>
        <v>7500</v>
      </c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>
      <c r="A372" s="21">
        <f ca="1">IFERROR(__xludf.DUMMYFUNCTION("""COMPUTED_VALUE"""),1428293376)</f>
        <v>1428293376</v>
      </c>
      <c r="B372" s="19" t="str">
        <f ca="1">IFERROR(__xludf.DUMMYFUNCTION("""COMPUTED_VALUE"""),"descontador")</f>
        <v>descontador</v>
      </c>
      <c r="C372" s="22" t="str">
        <f ca="1">IFERROR(__xludf.DUMMYFUNCTION("""COMPUTED_VALUE"""),"https://instagram.com/descontador")</f>
        <v>https://instagram.com/descontador</v>
      </c>
      <c r="D372" s="19">
        <f ca="1">IFERROR(__xludf.DUMMYFUNCTION("""COMPUTED_VALUE"""),113000)</f>
        <v>113000</v>
      </c>
      <c r="E372" s="22" t="str">
        <f ca="1">IFERROR(__xludf.DUMMYFUNCTION("""COMPUTED_VALUE"""),"https://tiktok.com/grupodescontador")</f>
        <v>https://tiktok.com/grupodescontador</v>
      </c>
      <c r="F372" s="19">
        <f ca="1">IFERROR(__xludf.DUMMYFUNCTION("""COMPUTED_VALUE"""),56100)</f>
        <v>56100</v>
      </c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>
      <c r="A373" s="21">
        <f ca="1">IFERROR(__xludf.DUMMYFUNCTION("""COMPUTED_VALUE"""),342729046)</f>
        <v>342729046</v>
      </c>
      <c r="B373" s="19" t="str">
        <f ca="1">IFERROR(__xludf.DUMMYFUNCTION("""COMPUTED_VALUE"""),"crowmantechofertas")</f>
        <v>crowmantechofertas</v>
      </c>
      <c r="C373" s="22" t="str">
        <f ca="1">IFERROR(__xludf.DUMMYFUNCTION("""COMPUTED_VALUE"""),"https://www.instagram.com/crowmantech/")</f>
        <v>https://www.instagram.com/crowmantech/</v>
      </c>
      <c r="D373" s="19">
        <f ca="1">IFERROR(__xludf.DUMMYFUNCTION("""COMPUTED_VALUE"""),359)</f>
        <v>359</v>
      </c>
      <c r="E373" s="22" t="str">
        <f ca="1">IFERROR(__xludf.DUMMYFUNCTION("""COMPUTED_VALUE"""),"https://www.tiktok.com/@crowmantech")</f>
        <v>https://www.tiktok.com/@crowmantech</v>
      </c>
      <c r="F373" s="19">
        <f ca="1">IFERROR(__xludf.DUMMYFUNCTION("""COMPUTED_VALUE"""),12)</f>
        <v>12</v>
      </c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>
      <c r="A374" s="21">
        <f ca="1">IFERROR(__xludf.DUMMYFUNCTION("""COMPUTED_VALUE"""),13770991)</f>
        <v>13770991</v>
      </c>
      <c r="B374" s="19" t="str">
        <f ca="1">IFERROR(__xludf.DUMMYFUNCTION("""COMPUTED_VALUE"""),"promobuzy")</f>
        <v>promobuzy</v>
      </c>
      <c r="C374" s="19" t="str">
        <f ca="1">IFERROR(__xludf.DUMMYFUNCTION("""COMPUTED_VALUE"""),"")</f>
        <v/>
      </c>
      <c r="D374" s="19" t="str">
        <f ca="1">IFERROR(__xludf.DUMMYFUNCTION("""COMPUTED_VALUE"""),"")</f>
        <v/>
      </c>
      <c r="E374" s="19" t="str">
        <f ca="1">IFERROR(__xludf.DUMMYFUNCTION("""COMPUTED_VALUE"""),"")</f>
        <v/>
      </c>
      <c r="F374" s="19" t="str">
        <f ca="1">IFERROR(__xludf.DUMMYFUNCTION("""COMPUTED_VALUE"""),"")</f>
        <v/>
      </c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>
      <c r="A375" s="21">
        <f ca="1">IFERROR(__xludf.DUMMYFUNCTION("""COMPUTED_VALUE"""),80055532)</f>
        <v>80055532</v>
      </c>
      <c r="B375" s="19" t="str">
        <f ca="1">IFERROR(__xludf.DUMMYFUNCTION("""COMPUTED_VALUE"""),"avaliado")</f>
        <v>avaliado</v>
      </c>
      <c r="C375" s="19" t="str">
        <f ca="1">IFERROR(__xludf.DUMMYFUNCTION("""COMPUTED_VALUE"""),"")</f>
        <v/>
      </c>
      <c r="D375" s="19" t="str">
        <f ca="1">IFERROR(__xludf.DUMMYFUNCTION("""COMPUTED_VALUE"""),"")</f>
        <v/>
      </c>
      <c r="E375" s="19" t="str">
        <f ca="1">IFERROR(__xludf.DUMMYFUNCTION("""COMPUTED_VALUE"""),"")</f>
        <v/>
      </c>
      <c r="F375" s="19" t="str">
        <f ca="1">IFERROR(__xludf.DUMMYFUNCTION("""COMPUTED_VALUE"""),"")</f>
        <v/>
      </c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>
      <c r="A376" s="21">
        <f ca="1">IFERROR(__xludf.DUMMYFUNCTION("""COMPUTED_VALUE"""),341004914)</f>
        <v>341004914</v>
      </c>
      <c r="B376" s="19" t="str">
        <f ca="1">IFERROR(__xludf.DUMMYFUNCTION("""COMPUTED_VALUE"""),"promosporflavia")</f>
        <v>promosporflavia</v>
      </c>
      <c r="C376" s="22" t="str">
        <f ca="1">IFERROR(__xludf.DUMMYFUNCTION("""COMPUTED_VALUE"""),"https://www.instagram.com/promosporflavia?")</f>
        <v>https://www.instagram.com/promosporflavia?</v>
      </c>
      <c r="D376" s="19">
        <f ca="1">IFERROR(__xludf.DUMMYFUNCTION("""COMPUTED_VALUE"""),163000)</f>
        <v>163000</v>
      </c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>
      <c r="A377" s="21">
        <f ca="1">IFERROR(__xludf.DUMMYFUNCTION("""COMPUTED_VALUE"""),1323210772)</f>
        <v>1323210772</v>
      </c>
      <c r="B377" s="19" t="str">
        <f ca="1">IFERROR(__xludf.DUMMYFUNCTION("""COMPUTED_VALUE"""),"cherubinclaudete20230304145023")</f>
        <v>cherubinclaudete20230304145023</v>
      </c>
      <c r="C377" s="22" t="str">
        <f ca="1">IFERROR(__xludf.DUMMYFUNCTION("""COMPUTED_VALUE"""),"https://www.instagram.com/juaocupons/")</f>
        <v>https://www.instagram.com/juaocupons/</v>
      </c>
      <c r="D377" s="19">
        <f ca="1">IFERROR(__xludf.DUMMYFUNCTION("""COMPUTED_VALUE"""),4000)</f>
        <v>4000</v>
      </c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>
      <c r="A378" s="21">
        <f ca="1">IFERROR(__xludf.DUMMYFUNCTION("""COMPUTED_VALUE"""),1446073591)</f>
        <v>1446073591</v>
      </c>
      <c r="B378" s="19" t="str">
        <f ca="1">IFERROR(__xludf.DUMMYFUNCTION("""COMPUTED_VALUE"""),"beteemanu46")</f>
        <v>beteemanu46</v>
      </c>
      <c r="C378" s="22" t="str">
        <f ca="1">IFERROR(__xludf.DUMMYFUNCTION("""COMPUTED_VALUE"""),"https://www.instagram.com/promos_manubelu?igsh=Y3J6OGNmOGRvYnB0")</f>
        <v>https://www.instagram.com/promos_manubelu?igsh=Y3J6OGNmOGRvYnB0</v>
      </c>
      <c r="D378" s="19">
        <f ca="1">IFERROR(__xludf.DUMMYFUNCTION("""COMPUTED_VALUE"""),1142)</f>
        <v>1142</v>
      </c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>
      <c r="A379" s="21">
        <f ca="1">IFERROR(__xludf.DUMMYFUNCTION("""COMPUTED_VALUE"""),1034365332)</f>
        <v>1034365332</v>
      </c>
      <c r="B379" s="19" t="str">
        <f ca="1">IFERROR(__xludf.DUMMYFUNCTION("""COMPUTED_VALUE"""),"achadinhosdapromoo")</f>
        <v>achadinhosdapromoo</v>
      </c>
      <c r="C379" s="22" t="str">
        <f ca="1">IFERROR(__xludf.DUMMYFUNCTION("""COMPUTED_VALUE"""),"https://www.instagram.com/achadinhosdapromoo?igsh=MTJmbGxpaDBlMzkwNw%3D%3D&amp;utm_source=qr")</f>
        <v>https://www.instagram.com/achadinhosdapromoo?igsh=MTJmbGxpaDBlMzkwNw%3D%3D&amp;utm_source=qr</v>
      </c>
      <c r="D379" s="19">
        <f ca="1">IFERROR(__xludf.DUMMYFUNCTION("""COMPUTED_VALUE"""),153000)</f>
        <v>153000</v>
      </c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>
      <c r="A380" s="21">
        <f ca="1">IFERROR(__xludf.DUMMYFUNCTION("""COMPUTED_VALUE"""),287029678)</f>
        <v>287029678</v>
      </c>
      <c r="B380" s="19" t="str">
        <f ca="1">IFERROR(__xludf.DUMMYFUNCTION("""COMPUTED_VALUE"""),"daniellycoelho1804")</f>
        <v>daniellycoelho1804</v>
      </c>
      <c r="C380" s="22" t="str">
        <f ca="1">IFERROR(__xludf.DUMMYFUNCTION("""COMPUTED_VALUE"""),"https://www.instagram.com/caceieachei?igsh=cGNpOG94eGpyemdk&amp;utm_source=qr")</f>
        <v>https://www.instagram.com/caceieachei?igsh=cGNpOG94eGpyemdk&amp;utm_source=qr</v>
      </c>
      <c r="D380" s="19">
        <f ca="1">IFERROR(__xludf.DUMMYFUNCTION("""COMPUTED_VALUE"""),33000)</f>
        <v>33000</v>
      </c>
      <c r="E380" s="22" t="str">
        <f ca="1">IFERROR(__xludf.DUMMYFUNCTION("""COMPUTED_VALUE"""),"https://www.tiktok.com/@caceieacheipromos?_t=ZM-8ydScparcNZ&amp;_r=1")</f>
        <v>https://www.tiktok.com/@caceieacheipromos?_t=ZM-8ydScparcNZ&amp;_r=1</v>
      </c>
      <c r="F380" s="19">
        <f ca="1">IFERROR(__xludf.DUMMYFUNCTION("""COMPUTED_VALUE"""),6752)</f>
        <v>6752</v>
      </c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>
      <c r="A381" s="21">
        <f ca="1">IFERROR(__xludf.DUMMYFUNCTION("""COMPUTED_VALUE"""),173167047)</f>
        <v>173167047</v>
      </c>
      <c r="B381" s="19" t="str">
        <f ca="1">IFERROR(__xludf.DUMMYFUNCTION("""COMPUTED_VALUE"""),"tamycgoncalves")</f>
        <v>tamycgoncalves</v>
      </c>
      <c r="C381" s="22" t="str">
        <f ca="1">IFERROR(__xludf.DUMMYFUNCTION("""COMPUTED_VALUE"""),"https://www.instagram.com/tamyachadoss")</f>
        <v>https://www.instagram.com/tamyachadoss</v>
      </c>
      <c r="D381" s="19">
        <f ca="1">IFERROR(__xludf.DUMMYFUNCTION("""COMPUTED_VALUE"""),308000)</f>
        <v>308000</v>
      </c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>
      <c r="A382" s="21">
        <f ca="1">IFERROR(__xludf.DUMMYFUNCTION("""COMPUTED_VALUE"""),72221514)</f>
        <v>72221514</v>
      </c>
      <c r="B382" s="19" t="str">
        <f ca="1">IFERROR(__xludf.DUMMYFUNCTION("""COMPUTED_VALUE"""),"monedeira")</f>
        <v>monedeira</v>
      </c>
      <c r="C382" s="22" t="str">
        <f ca="1">IFERROR(__xludf.DUMMYFUNCTION("""COMPUTED_VALUE"""),"https://www.instagram.com/monedeira/")</f>
        <v>https://www.instagram.com/monedeira/</v>
      </c>
      <c r="D382" s="19">
        <f ca="1">IFERROR(__xludf.DUMMYFUNCTION("""COMPUTED_VALUE"""),161)</f>
        <v>161</v>
      </c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>
      <c r="A383" s="21">
        <f ca="1">IFERROR(__xludf.DUMMYFUNCTION("""COMPUTED_VALUE"""),234320014)</f>
        <v>234320014</v>
      </c>
      <c r="B383" s="19" t="str">
        <f ca="1">IFERROR(__xludf.DUMMYFUNCTION("""COMPUTED_VALUE"""),"larissasntana")</f>
        <v>larissasntana</v>
      </c>
      <c r="C383" s="22" t="str">
        <f ca="1">IFERROR(__xludf.DUMMYFUNCTION("""COMPUTED_VALUE"""),"https://www.instagram.com/_larissasntana?igsh=d3NqaDc1aTgzdGk=")</f>
        <v>https://www.instagram.com/_larissasntana?igsh=d3NqaDc1aTgzdGk=</v>
      </c>
      <c r="D383" s="19">
        <f ca="1">IFERROR(__xludf.DUMMYFUNCTION("""COMPUTED_VALUE"""),28000)</f>
        <v>28000</v>
      </c>
      <c r="E383" s="22" t="str">
        <f ca="1">IFERROR(__xludf.DUMMYFUNCTION("""COMPUTED_VALUE"""),"https://www.tiktok.com/@_larissasntana?_t=ZM-8xgiQ5VijXM&amp;_r=1")</f>
        <v>https://www.tiktok.com/@_larissasntana?_t=ZM-8xgiQ5VijXM&amp;_r=1</v>
      </c>
      <c r="F383" s="19">
        <f ca="1">IFERROR(__xludf.DUMMYFUNCTION("""COMPUTED_VALUE"""),30000)</f>
        <v>30000</v>
      </c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>
      <c r="A384" s="21">
        <f ca="1">IFERROR(__xludf.DUMMYFUNCTION("""COMPUTED_VALUE"""),1457499617)</f>
        <v>1457499617</v>
      </c>
      <c r="B384" s="19" t="str">
        <f ca="1">IFERROR(__xludf.DUMMYFUNCTION("""COMPUTED_VALUE"""),"marcosoliveira")</f>
        <v>marcosoliveira</v>
      </c>
      <c r="C384" s="22" t="str">
        <f ca="1">IFERROR(__xludf.DUMMYFUNCTION("""COMPUTED_VALUE"""),"https://perfil.em.reavaliacao")</f>
        <v>https://perfil.em.reavaliacao</v>
      </c>
      <c r="D384" s="19">
        <f ca="1">IFERROR(__xludf.DUMMYFUNCTION("""COMPUTED_VALUE"""),0)</f>
        <v>0</v>
      </c>
      <c r="E384" s="22" t="str">
        <f ca="1">IFERROR(__xludf.DUMMYFUNCTION("""COMPUTED_VALUE"""),"https://www.tiktok.com/@eu.marcosoliveira")</f>
        <v>https://www.tiktok.com/@eu.marcosoliveira</v>
      </c>
      <c r="F384" s="19">
        <f ca="1">IFERROR(__xludf.DUMMYFUNCTION("""COMPUTED_VALUE"""),407)</f>
        <v>407</v>
      </c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>
      <c r="A385" s="21">
        <f ca="1">IFERROR(__xludf.DUMMYFUNCTION("""COMPUTED_VALUE"""),1856859073)</f>
        <v>1856859073</v>
      </c>
      <c r="B385" s="19" t="str">
        <f ca="1">IFERROR(__xludf.DUMMYFUNCTION("""COMPUTED_VALUE"""),"cm20240614143136")</f>
        <v>cm20240614143136</v>
      </c>
      <c r="C385" s="22" t="str">
        <f ca="1">IFERROR(__xludf.DUMMYFUNCTION("""COMPUTED_VALUE"""),"https://www.instagram.com/maxhobby_modelismo/")</f>
        <v>https://www.instagram.com/maxhobby_modelismo/</v>
      </c>
      <c r="D385" s="19">
        <f ca="1">IFERROR(__xludf.DUMMYFUNCTION("""COMPUTED_VALUE"""),197000)</f>
        <v>197000</v>
      </c>
      <c r="E385" s="22" t="str">
        <f ca="1">IFERROR(__xludf.DUMMYFUNCTION("""COMPUTED_VALUE"""),"https://www.instagram.com/maxhobby_modelismo/")</f>
        <v>https://www.instagram.com/maxhobby_modelismo/</v>
      </c>
      <c r="F385" s="19">
        <f ca="1">IFERROR(__xludf.DUMMYFUNCTION("""COMPUTED_VALUE"""),88000)</f>
        <v>88000</v>
      </c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>
      <c r="A386" s="21">
        <f ca="1">IFERROR(__xludf.DUMMYFUNCTION("""COMPUTED_VALUE"""),448250295)</f>
        <v>448250295</v>
      </c>
      <c r="B386" s="19" t="str">
        <f ca="1">IFERROR(__xludf.DUMMYFUNCTION("""COMPUTED_VALUE"""),"promodamilla")</f>
        <v>promodamilla</v>
      </c>
      <c r="C386" s="22" t="str">
        <f ca="1">IFERROR(__xludf.DUMMYFUNCTION("""COMPUTED_VALUE"""),"www.instagram.com/promodamilla")</f>
        <v>www.instagram.com/promodamilla</v>
      </c>
      <c r="D386" s="19">
        <f ca="1">IFERROR(__xludf.DUMMYFUNCTION("""COMPUTED_VALUE"""),114000)</f>
        <v>114000</v>
      </c>
      <c r="E386" s="22" t="str">
        <f ca="1">IFERROR(__xludf.DUMMYFUNCTION("""COMPUTED_VALUE"""),"https://www.tiktok.com/@promodamilla?_t=ZM-8ydNRLJXrtN&amp;_r=1")</f>
        <v>https://www.tiktok.com/@promodamilla?_t=ZM-8ydNRLJXrtN&amp;_r=1</v>
      </c>
      <c r="F386" s="19">
        <f ca="1">IFERROR(__xludf.DUMMYFUNCTION("""COMPUTED_VALUE"""),13800)</f>
        <v>13800</v>
      </c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>
      <c r="A387" s="21">
        <f ca="1">IFERROR(__xludf.DUMMYFUNCTION("""COMPUTED_VALUE"""),337625387)</f>
        <v>337625387</v>
      </c>
      <c r="B387" s="19" t="str">
        <f ca="1">IFERROR(__xludf.DUMMYFUNCTION("""COMPUTED_VALUE"""),"achadinhos4")</f>
        <v>achadinhos4</v>
      </c>
      <c r="C387" s="22" t="str">
        <f ca="1">IFERROR(__xludf.DUMMYFUNCTION("""COMPUTED_VALUE"""),"https://www.instagram.com/achadinhos4you?igsh=MTZjcmx4ZXp3OWc2OA%3D%3D&amp;utm_source=qr")</f>
        <v>https://www.instagram.com/achadinhos4you?igsh=MTZjcmx4ZXp3OWc2OA%3D%3D&amp;utm_source=qr</v>
      </c>
      <c r="D387" s="19">
        <f ca="1">IFERROR(__xludf.DUMMYFUNCTION("""COMPUTED_VALUE"""),102000)</f>
        <v>102000</v>
      </c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>
      <c r="A388" s="21">
        <f ca="1">IFERROR(__xludf.DUMMYFUNCTION("""COMPUTED_VALUE"""),2015096198)</f>
        <v>2015096198</v>
      </c>
      <c r="B388" s="19" t="str">
        <f ca="1">IFERROR(__xludf.DUMMYFUNCTION("""COMPUTED_VALUE"""),"assessoria.rshein")</f>
        <v>assessoria.rshein</v>
      </c>
      <c r="C388" s="22" t="str">
        <f ca="1">IFERROR(__xludf.DUMMYFUNCTION("""COMPUTED_VALUE"""),"https://www.instagram.com/promoscjessi?igsh=YW5lZDhsd3l4c3Vu")</f>
        <v>https://www.instagram.com/promoscjessi?igsh=YW5lZDhsd3l4c3Vu</v>
      </c>
      <c r="D388" s="19">
        <f ca="1">IFERROR(__xludf.DUMMYFUNCTION("""COMPUTED_VALUE"""),257000)</f>
        <v>257000</v>
      </c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>
      <c r="A389" s="21">
        <f ca="1">IFERROR(__xludf.DUMMYFUNCTION("""COMPUTED_VALUE"""),49674458)</f>
        <v>49674458</v>
      </c>
      <c r="B389" s="19" t="str">
        <f ca="1">IFERROR(__xludf.DUMMYFUNCTION("""COMPUTED_VALUE"""),"danielsonnora")</f>
        <v>danielsonnora</v>
      </c>
      <c r="C389" s="22" t="str">
        <f ca="1">IFERROR(__xludf.DUMMYFUNCTION("""COMPUTED_VALUE"""),"https://www.instagram.com/danielsonnora/")</f>
        <v>https://www.instagram.com/danielsonnora/</v>
      </c>
      <c r="D389" s="19">
        <f ca="1">IFERROR(__xludf.DUMMYFUNCTION("""COMPUTED_VALUE"""),40000)</f>
        <v>40000</v>
      </c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>
      <c r="A390" s="21">
        <f ca="1">IFERROR(__xludf.DUMMYFUNCTION("""COMPUTED_VALUE"""),784703504)</f>
        <v>784703504</v>
      </c>
      <c r="B390" s="19" t="str">
        <f ca="1">IFERROR(__xludf.DUMMYFUNCTION("""COMPUTED_VALUE"""),"thiagosa")</f>
        <v>thiagosa</v>
      </c>
      <c r="C390" s="19" t="str">
        <f ca="1">IFERROR(__xludf.DUMMYFUNCTION("""COMPUTED_VALUE"""),"")</f>
        <v/>
      </c>
      <c r="D390" s="19" t="str">
        <f ca="1">IFERROR(__xludf.DUMMYFUNCTION("""COMPUTED_VALUE"""),"")</f>
        <v/>
      </c>
      <c r="E390" s="19" t="str">
        <f ca="1">IFERROR(__xludf.DUMMYFUNCTION("""COMPUTED_VALUE"""),"")</f>
        <v/>
      </c>
      <c r="F390" s="19" t="str">
        <f ca="1">IFERROR(__xludf.DUMMYFUNCTION("""COMPUTED_VALUE"""),"")</f>
        <v/>
      </c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>
      <c r="A391" s="21">
        <f ca="1">IFERROR(__xludf.DUMMYFUNCTION("""COMPUTED_VALUE"""),1895835306)</f>
        <v>1895835306</v>
      </c>
      <c r="B391" s="19" t="str">
        <f ca="1">IFERROR(__xludf.DUMMYFUNCTION("""COMPUTED_VALUE"""),"aquilesequipamentos")</f>
        <v>aquilesequipamentos</v>
      </c>
      <c r="C391" s="19" t="str">
        <f ca="1">IFERROR(__xludf.DUMMYFUNCTION("""COMPUTED_VALUE"""),"")</f>
        <v/>
      </c>
      <c r="D391" s="19" t="str">
        <f ca="1">IFERROR(__xludf.DUMMYFUNCTION("""COMPUTED_VALUE"""),"")</f>
        <v/>
      </c>
      <c r="E391" s="19" t="str">
        <f ca="1">IFERROR(__xludf.DUMMYFUNCTION("""COMPUTED_VALUE"""),"")</f>
        <v/>
      </c>
      <c r="F391" s="19" t="str">
        <f ca="1">IFERROR(__xludf.DUMMYFUNCTION("""COMPUTED_VALUE"""),"")</f>
        <v/>
      </c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>
      <c r="A392" s="21">
        <f ca="1">IFERROR(__xludf.DUMMYFUNCTION("""COMPUTED_VALUE"""),86281592)</f>
        <v>86281592</v>
      </c>
      <c r="B392" s="19" t="str">
        <f ca="1">IFERROR(__xludf.DUMMYFUNCTION("""COMPUTED_VALUE"""),"azezshop")</f>
        <v>azezshop</v>
      </c>
      <c r="C392" s="19" t="str">
        <f ca="1">IFERROR(__xludf.DUMMYFUNCTION("""COMPUTED_VALUE"""),"")</f>
        <v/>
      </c>
      <c r="D392" s="19" t="str">
        <f ca="1">IFERROR(__xludf.DUMMYFUNCTION("""COMPUTED_VALUE"""),"")</f>
        <v/>
      </c>
      <c r="E392" s="19" t="str">
        <f ca="1">IFERROR(__xludf.DUMMYFUNCTION("""COMPUTED_VALUE"""),"")</f>
        <v/>
      </c>
      <c r="F392" s="19" t="str">
        <f ca="1">IFERROR(__xludf.DUMMYFUNCTION("""COMPUTED_VALUE"""),"")</f>
        <v/>
      </c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>
      <c r="A393" s="21">
        <f ca="1">IFERROR(__xludf.DUMMYFUNCTION("""COMPUTED_VALUE"""),119153550)</f>
        <v>119153550</v>
      </c>
      <c r="B393" s="19" t="str">
        <f ca="1">IFERROR(__xludf.DUMMYFUNCTION("""COMPUTED_VALUE"""),"clayton.mundim")</f>
        <v>clayton.mundim</v>
      </c>
      <c r="C393" s="19" t="str">
        <f ca="1">IFERROR(__xludf.DUMMYFUNCTION("""COMPUTED_VALUE"""),"")</f>
        <v/>
      </c>
      <c r="D393" s="19" t="str">
        <f ca="1">IFERROR(__xludf.DUMMYFUNCTION("""COMPUTED_VALUE"""),"")</f>
        <v/>
      </c>
      <c r="E393" s="19" t="str">
        <f ca="1">IFERROR(__xludf.DUMMYFUNCTION("""COMPUTED_VALUE"""),"")</f>
        <v/>
      </c>
      <c r="F393" s="19" t="str">
        <f ca="1">IFERROR(__xludf.DUMMYFUNCTION("""COMPUTED_VALUE"""),"")</f>
        <v/>
      </c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>
      <c r="A394" s="21">
        <f ca="1">IFERROR(__xludf.DUMMYFUNCTION("""COMPUTED_VALUE"""),1756402797)</f>
        <v>1756402797</v>
      </c>
      <c r="B394" s="19" t="str">
        <f ca="1">IFERROR(__xludf.DUMMYFUNCTION("""COMPUTED_VALUE"""),"jufrois")</f>
        <v>jufrois</v>
      </c>
      <c r="C394" s="22" t="str">
        <f ca="1">IFERROR(__xludf.DUMMYFUNCTION("""COMPUTED_VALUE"""),"https://www.instagram.com.br/julianefrois")</f>
        <v>https://www.instagram.com.br/julianefrois</v>
      </c>
      <c r="D394" s="19">
        <f ca="1">IFERROR(__xludf.DUMMYFUNCTION("""COMPUTED_VALUE"""),100000)</f>
        <v>100000</v>
      </c>
      <c r="E394" s="22" t="str">
        <f ca="1">IFERROR(__xludf.DUMMYFUNCTION("""COMPUTED_VALUE"""),"https://www.tiktok.com/@julianefrois?_t=ZM-8yzOOO2CKHA&amp;_r=1")</f>
        <v>https://www.tiktok.com/@julianefrois?_t=ZM-8yzOOO2CKHA&amp;_r=1</v>
      </c>
      <c r="F394" s="19">
        <f ca="1">IFERROR(__xludf.DUMMYFUNCTION("""COMPUTED_VALUE"""),23000)</f>
        <v>23000</v>
      </c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>
      <c r="A395" s="21">
        <f ca="1">IFERROR(__xludf.DUMMYFUNCTION("""COMPUTED_VALUE"""),1051711586)</f>
        <v>1051711586</v>
      </c>
      <c r="B395" s="19" t="str">
        <f ca="1">IFERROR(__xludf.DUMMYFUNCTION("""COMPUTED_VALUE"""),"mildicasdamay")</f>
        <v>mildicasdamay</v>
      </c>
      <c r="C395" s="22" t="str">
        <f ca="1">IFERROR(__xludf.DUMMYFUNCTION("""COMPUTED_VALUE"""),"https://www.instagram.com/mildicasdamay?igsh=MXNwZjI4c3k1bXB0OQ%3D%3D&amp;utm_source=qr")</f>
        <v>https://www.instagram.com/mildicasdamay?igsh=MXNwZjI4c3k1bXB0OQ%3D%3D&amp;utm_source=qr</v>
      </c>
      <c r="D395" s="19">
        <f ca="1">IFERROR(__xludf.DUMMYFUNCTION("""COMPUTED_VALUE"""),47900)</f>
        <v>47900</v>
      </c>
      <c r="E395" s="22" t="str">
        <f ca="1">IFERROR(__xludf.DUMMYFUNCTION("""COMPUTED_VALUE"""),"https://www.tiktok.com/@mildicasdamay?_t=ZM-8yzLwq7xvwm&amp;_r=1")</f>
        <v>https://www.tiktok.com/@mildicasdamay?_t=ZM-8yzLwq7xvwm&amp;_r=1</v>
      </c>
      <c r="F395" s="19">
        <f ca="1">IFERROR(__xludf.DUMMYFUNCTION("""COMPUTED_VALUE"""),73000)</f>
        <v>73000</v>
      </c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>
      <c r="A396" s="21">
        <f ca="1">IFERROR(__xludf.DUMMYFUNCTION("""COMPUTED_VALUE"""),2308583650)</f>
        <v>2308583650</v>
      </c>
      <c r="B396" s="19" t="str">
        <f ca="1">IFERROR(__xludf.DUMMYFUNCTION("""COMPUTED_VALUE"""),"indicacoesdazoe2")</f>
        <v>indicacoesdazoe2</v>
      </c>
      <c r="C396" s="22" t="str">
        <f ca="1">IFERROR(__xludf.DUMMYFUNCTION("""COMPUTED_VALUE"""),"https://www.instagram.com/karenetoboer/")</f>
        <v>https://www.instagram.com/karenetoboer/</v>
      </c>
      <c r="D396" s="19">
        <f ca="1">IFERROR(__xludf.DUMMYFUNCTION("""COMPUTED_VALUE"""),42)</f>
        <v>42</v>
      </c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>
      <c r="A397" s="21">
        <f ca="1">IFERROR(__xludf.DUMMYFUNCTION("""COMPUTED_VALUE"""),1455200615)</f>
        <v>1455200615</v>
      </c>
      <c r="B397" s="19" t="str">
        <f ca="1">IFERROR(__xludf.DUMMYFUNCTION("""COMPUTED_VALUE"""),"garimpar")</f>
        <v>garimpar</v>
      </c>
      <c r="C397" s="19" t="str">
        <f ca="1">IFERROR(__xludf.DUMMYFUNCTION("""COMPUTED_VALUE"""),"")</f>
        <v/>
      </c>
      <c r="D397" s="19" t="str">
        <f ca="1">IFERROR(__xludf.DUMMYFUNCTION("""COMPUTED_VALUE"""),"")</f>
        <v/>
      </c>
      <c r="E397" s="19" t="str">
        <f ca="1">IFERROR(__xludf.DUMMYFUNCTION("""COMPUTED_VALUE"""),"")</f>
        <v/>
      </c>
      <c r="F397" s="19" t="str">
        <f ca="1">IFERROR(__xludf.DUMMYFUNCTION("""COMPUTED_VALUE"""),"")</f>
        <v/>
      </c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>
      <c r="A398" s="21">
        <f ca="1">IFERROR(__xludf.DUMMYFUNCTION("""COMPUTED_VALUE"""),192318860)</f>
        <v>192318860</v>
      </c>
      <c r="B398" s="19" t="str">
        <f ca="1">IFERROR(__xludf.DUMMYFUNCTION("""COMPUTED_VALUE"""),"promosdaligia")</f>
        <v>promosdaligia</v>
      </c>
      <c r="C398" s="22" t="str">
        <f ca="1">IFERROR(__xludf.DUMMYFUNCTION("""COMPUTED_VALUE"""),"https://www.instagram.com/promosdaligia")</f>
        <v>https://www.instagram.com/promosdaligia</v>
      </c>
      <c r="D398" s="19">
        <f ca="1">IFERROR(__xludf.DUMMYFUNCTION("""COMPUTED_VALUE"""),3908)</f>
        <v>3908</v>
      </c>
      <c r="E398" s="22" t="str">
        <f ca="1">IFERROR(__xludf.DUMMYFUNCTION("""COMPUTED_VALUE"""),"https://www.tiktok.com/@promosdaligia")</f>
        <v>https://www.tiktok.com/@promosdaligia</v>
      </c>
      <c r="F398" s="19">
        <f ca="1">IFERROR(__xludf.DUMMYFUNCTION("""COMPUTED_VALUE"""),6214)</f>
        <v>6214</v>
      </c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>
      <c r="A399" s="21">
        <f ca="1">IFERROR(__xludf.DUMMYFUNCTION("""COMPUTED_VALUE"""),538152142)</f>
        <v>538152142</v>
      </c>
      <c r="B399" s="19" t="str">
        <f ca="1">IFERROR(__xludf.DUMMYFUNCTION("""COMPUTED_VALUE"""),"diquinhasgirl")</f>
        <v>diquinhasgirl</v>
      </c>
      <c r="C399" s="22" t="str">
        <f ca="1">IFERROR(__xludf.DUMMYFUNCTION("""COMPUTED_VALUE"""),"instagram.com/diquinhsasgirl")</f>
        <v>instagram.com/diquinhsasgirl</v>
      </c>
      <c r="D399" s="19">
        <f ca="1">IFERROR(__xludf.DUMMYFUNCTION("""COMPUTED_VALUE"""),1800)</f>
        <v>1800</v>
      </c>
      <c r="E399" s="22" t="str">
        <f ca="1">IFERROR(__xludf.DUMMYFUNCTION("""COMPUTED_VALUE"""),"https://www.tiktok.com/@girldiquinhas?_t=ZM-8yzM3BcETkT&amp;_r=1")</f>
        <v>https://www.tiktok.com/@girldiquinhas?_t=ZM-8yzM3BcETkT&amp;_r=1</v>
      </c>
      <c r="F399" s="19">
        <f ca="1">IFERROR(__xludf.DUMMYFUNCTION("""COMPUTED_VALUE"""),2000)</f>
        <v>2000</v>
      </c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>
      <c r="A400" s="21">
        <f ca="1">IFERROR(__xludf.DUMMYFUNCTION("""COMPUTED_VALUE"""),408274567)</f>
        <v>408274567</v>
      </c>
      <c r="B400" s="19" t="str">
        <f ca="1">IFERROR(__xludf.DUMMYFUNCTION("""COMPUTED_VALUE"""),"beautyporlivia")</f>
        <v>beautyporlivia</v>
      </c>
      <c r="C400" s="22" t="str">
        <f ca="1">IFERROR(__xludf.DUMMYFUNCTION("""COMPUTED_VALUE"""),"https://www.instagram.com/dailyliviabarros?igsh=MWxsbmJydGRwY2ZmMg%3D%3D&amp;utm_source=qr")</f>
        <v>https://www.instagram.com/dailyliviabarros?igsh=MWxsbmJydGRwY2ZmMg%3D%3D&amp;utm_source=qr</v>
      </c>
      <c r="D400" s="19">
        <f ca="1">IFERROR(__xludf.DUMMYFUNCTION("""COMPUTED_VALUE"""),24000)</f>
        <v>24000</v>
      </c>
      <c r="E400" s="22" t="str">
        <f ca="1">IFERROR(__xludf.DUMMYFUNCTION("""COMPUTED_VALUE"""),"https://www.tiktok.com/@beautyporlivia?_t=ZM-8xgEqwlNIWu&amp;_r=1")</f>
        <v>https://www.tiktok.com/@beautyporlivia?_t=ZM-8xgEqwlNIWu&amp;_r=1</v>
      </c>
      <c r="F400" s="19">
        <f ca="1">IFERROR(__xludf.DUMMYFUNCTION("""COMPUTED_VALUE"""),86000)</f>
        <v>86000</v>
      </c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>
      <c r="A401" s="21">
        <f ca="1">IFERROR(__xludf.DUMMYFUNCTION("""COMPUTED_VALUE"""),1946020572)</f>
        <v>1946020572</v>
      </c>
      <c r="B401" s="19" t="str">
        <f ca="1">IFERROR(__xludf.DUMMYFUNCTION("""COMPUTED_VALUE"""),"gabrielleurbano")</f>
        <v>gabrielleurbano</v>
      </c>
      <c r="C401" s="22" t="str">
        <f ca="1">IFERROR(__xludf.DUMMYFUNCTION("""COMPUTED_VALUE"""),"https://www.instagram.com/minadaspaty?igsh=MWxqYWM0M3RyNW9ybg%3D%3D&amp;utm_source=qr")</f>
        <v>https://www.instagram.com/minadaspaty?igsh=MWxqYWM0M3RyNW9ybg%3D%3D&amp;utm_source=qr</v>
      </c>
      <c r="D401" s="19">
        <f ca="1">IFERROR(__xludf.DUMMYFUNCTION("""COMPUTED_VALUE"""),118000)</f>
        <v>118000</v>
      </c>
      <c r="E401" s="22" t="str">
        <f ca="1">IFERROR(__xludf.DUMMYFUNCTION("""COMPUTED_VALUE"""),"https://www.tiktok.com/@minadagabii?_t=ZM-8xhsb8jJt2r&amp;_r=1")</f>
        <v>https://www.tiktok.com/@minadagabii?_t=ZM-8xhsb8jJt2r&amp;_r=1</v>
      </c>
      <c r="F401" s="19">
        <f ca="1">IFERROR(__xludf.DUMMYFUNCTION("""COMPUTED_VALUE"""),4600)</f>
        <v>4600</v>
      </c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>
      <c r="A402" s="21">
        <f ca="1">IFERROR(__xludf.DUMMYFUNCTION("""COMPUTED_VALUE"""),156663872)</f>
        <v>156663872</v>
      </c>
      <c r="B402" s="19" t="str">
        <f ca="1">IFERROR(__xludf.DUMMYFUNCTION("""COMPUTED_VALUE"""),"kelly.665")</f>
        <v>kelly.665</v>
      </c>
      <c r="C402" s="22" t="str">
        <f ca="1">IFERROR(__xludf.DUMMYFUNCTION("""COMPUTED_VALUE"""),"https://www.instagram.com/maravilhadepromos?igsh=MXVmeWxvYTBwdW5wbQ==")</f>
        <v>https://www.instagram.com/maravilhadepromos?igsh=MXVmeWxvYTBwdW5wbQ==</v>
      </c>
      <c r="D402" s="19">
        <f ca="1">IFERROR(__xludf.DUMMYFUNCTION("""COMPUTED_VALUE"""),125000)</f>
        <v>125000</v>
      </c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>
      <c r="A403" s="21">
        <f ca="1">IFERROR(__xludf.DUMMYFUNCTION("""COMPUTED_VALUE"""),600070078)</f>
        <v>600070078</v>
      </c>
      <c r="B403" s="19" t="str">
        <f ca="1">IFERROR(__xludf.DUMMYFUNCTION("""COMPUTED_VALUE"""),"economizeiuai")</f>
        <v>economizeiuai</v>
      </c>
      <c r="C403" s="19" t="str">
        <f ca="1">IFERROR(__xludf.DUMMYFUNCTION("""COMPUTED_VALUE"""),"")</f>
        <v/>
      </c>
      <c r="D403" s="19" t="str">
        <f ca="1">IFERROR(__xludf.DUMMYFUNCTION("""COMPUTED_VALUE"""),"")</f>
        <v/>
      </c>
      <c r="E403" s="19" t="str">
        <f ca="1">IFERROR(__xludf.DUMMYFUNCTION("""COMPUTED_VALUE"""),"")</f>
        <v/>
      </c>
      <c r="F403" s="19" t="str">
        <f ca="1">IFERROR(__xludf.DUMMYFUNCTION("""COMPUTED_VALUE"""),"")</f>
        <v/>
      </c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>
      <c r="A404" s="21">
        <f ca="1">IFERROR(__xludf.DUMMYFUNCTION("""COMPUTED_VALUE"""),1427541699)</f>
        <v>1427541699</v>
      </c>
      <c r="B404" s="19" t="str">
        <f ca="1">IFERROR(__xludf.DUMMYFUNCTION("""COMPUTED_VALUE"""),"jgtech")</f>
        <v>jgtech</v>
      </c>
      <c r="C404" s="22" t="str">
        <f ca="1">IFERROR(__xludf.DUMMYFUNCTION("""COMPUTED_VALUE"""),"https://www.instagram.com/joaogomeseu")</f>
        <v>https://www.instagram.com/joaogomeseu</v>
      </c>
      <c r="D404" s="19">
        <f ca="1">IFERROR(__xludf.DUMMYFUNCTION("""COMPUTED_VALUE"""),17700)</f>
        <v>17700</v>
      </c>
      <c r="E404" s="22" t="str">
        <f ca="1">IFERROR(__xludf.DUMMYFUNCTION("""COMPUTED_VALUE"""),"https://www.tiktok.com/@joaogomeseu")</f>
        <v>https://www.tiktok.com/@joaogomeseu</v>
      </c>
      <c r="F404" s="19">
        <f ca="1">IFERROR(__xludf.DUMMYFUNCTION("""COMPUTED_VALUE"""),33000)</f>
        <v>33000</v>
      </c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>
      <c r="A405" s="21">
        <f ca="1">IFERROR(__xludf.DUMMYFUNCTION("""COMPUTED_VALUE"""),1075346989)</f>
        <v>1075346989</v>
      </c>
      <c r="B405" s="19" t="str">
        <f ca="1">IFERROR(__xludf.DUMMYFUNCTION("""COMPUTED_VALUE"""),"detectaofertas")</f>
        <v>detectaofertas</v>
      </c>
      <c r="C405" s="22" t="str">
        <f ca="1">IFERROR(__xludf.DUMMYFUNCTION("""COMPUTED_VALUE"""),"https://www.instagram.com/detectaofertas/")</f>
        <v>https://www.instagram.com/detectaofertas/</v>
      </c>
      <c r="D405" s="19">
        <f ca="1">IFERROR(__xludf.DUMMYFUNCTION("""COMPUTED_VALUE"""),225000)</f>
        <v>225000</v>
      </c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>
      <c r="A406" s="21">
        <f ca="1">IFERROR(__xludf.DUMMYFUNCTION("""COMPUTED_VALUE"""),1608820319)</f>
        <v>1608820319</v>
      </c>
      <c r="B406" s="19" t="str">
        <f ca="1">IFERROR(__xludf.DUMMYFUNCTION("""COMPUTED_VALUE"""),"gabrielvinicius1020304050")</f>
        <v>gabrielvinicius1020304050</v>
      </c>
      <c r="C406" s="19" t="str">
        <f ca="1">IFERROR(__xludf.DUMMYFUNCTION("""COMPUTED_VALUE"""),"")</f>
        <v/>
      </c>
      <c r="D406" s="19" t="str">
        <f ca="1">IFERROR(__xludf.DUMMYFUNCTION("""COMPUTED_VALUE"""),"")</f>
        <v/>
      </c>
      <c r="E406" s="19" t="str">
        <f ca="1">IFERROR(__xludf.DUMMYFUNCTION("""COMPUTED_VALUE"""),"")</f>
        <v/>
      </c>
      <c r="F406" s="19" t="str">
        <f ca="1">IFERROR(__xludf.DUMMYFUNCTION("""COMPUTED_VALUE"""),"")</f>
        <v/>
      </c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>
      <c r="A407" s="21">
        <f ca="1">IFERROR(__xludf.DUMMYFUNCTION("""COMPUTED_VALUE"""),338747893)</f>
        <v>338747893</v>
      </c>
      <c r="B407" s="19" t="str">
        <f ca="1">IFERROR(__xludf.DUMMYFUNCTION("""COMPUTED_VALUE"""),"denisson")</f>
        <v>denisson</v>
      </c>
      <c r="C407" s="22" t="str">
        <f ca="1">IFERROR(__xludf.DUMMYFUNCTION("""COMPUTED_VALUE"""),"https://www.instagram.com/denissonreal?igsh=MXJhOXI1ZjAycTNmaA%3D%3D&amp;utm_source=qr")</f>
        <v>https://www.instagram.com/denissonreal?igsh=MXJhOXI1ZjAycTNmaA%3D%3D&amp;utm_source=qr</v>
      </c>
      <c r="D407" s="19">
        <f ca="1">IFERROR(__xludf.DUMMYFUNCTION("""COMPUTED_VALUE"""),300000)</f>
        <v>300000</v>
      </c>
      <c r="E407" s="22" t="str">
        <f ca="1">IFERROR(__xludf.DUMMYFUNCTION("""COMPUTED_VALUE"""),"https://www.tiktok.com/@denissonnn?_t=ZM-8yzpezcqX7m&amp;_r=1")</f>
        <v>https://www.tiktok.com/@denissonnn?_t=ZM-8yzpezcqX7m&amp;_r=1</v>
      </c>
      <c r="F407" s="19">
        <f ca="1">IFERROR(__xludf.DUMMYFUNCTION("""COMPUTED_VALUE"""),700000)</f>
        <v>700000</v>
      </c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>
      <c r="A408" s="21">
        <f ca="1">IFERROR(__xludf.DUMMYFUNCTION("""COMPUTED_VALUE"""),190304867)</f>
        <v>190304867</v>
      </c>
      <c r="B408" s="19" t="str">
        <f ca="1">IFERROR(__xludf.DUMMYFUNCTION("""COMPUTED_VALUE"""),"melissalopest")</f>
        <v>melissalopest</v>
      </c>
      <c r="C408" s="22" t="str">
        <f ca="1">IFERROR(__xludf.DUMMYFUNCTION("""COMPUTED_VALUE"""),"https://www.instagram.com/diariopotterhead_?igsh=MWh6eGRqam4wbHFqdg==")</f>
        <v>https://www.instagram.com/diariopotterhead_?igsh=MWh6eGRqam4wbHFqdg==</v>
      </c>
      <c r="D408" s="19">
        <f ca="1">IFERROR(__xludf.DUMMYFUNCTION("""COMPUTED_VALUE"""),817000)</f>
        <v>817000</v>
      </c>
      <c r="E408" s="22" t="str">
        <f ca="1">IFERROR(__xludf.DUMMYFUNCTION("""COMPUTED_VALUE"""),"https://www.tiktok.com/@diariopotterhead?_t=ZM-8ydNw2uPBDx&amp;_r=1")</f>
        <v>https://www.tiktok.com/@diariopotterhead?_t=ZM-8ydNw2uPBDx&amp;_r=1</v>
      </c>
      <c r="F408" s="19">
        <f ca="1">IFERROR(__xludf.DUMMYFUNCTION("""COMPUTED_VALUE"""),22900)</f>
        <v>22900</v>
      </c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>
      <c r="A409" s="21">
        <f ca="1">IFERROR(__xludf.DUMMYFUNCTION("""COMPUTED_VALUE"""),129349374)</f>
        <v>129349374</v>
      </c>
      <c r="B409" s="19" t="str">
        <f ca="1">IFERROR(__xludf.DUMMYFUNCTION("""COMPUTED_VALUE"""),"marcosjosimar0")</f>
        <v>marcosjosimar0</v>
      </c>
      <c r="C409" s="19" t="str">
        <f ca="1">IFERROR(__xludf.DUMMYFUNCTION("""COMPUTED_VALUE"""),"")</f>
        <v/>
      </c>
      <c r="D409" s="19" t="str">
        <f ca="1">IFERROR(__xludf.DUMMYFUNCTION("""COMPUTED_VALUE"""),"")</f>
        <v/>
      </c>
      <c r="E409" s="19" t="str">
        <f ca="1">IFERROR(__xludf.DUMMYFUNCTION("""COMPUTED_VALUE"""),"")</f>
        <v/>
      </c>
      <c r="F409" s="19" t="str">
        <f ca="1">IFERROR(__xludf.DUMMYFUNCTION("""COMPUTED_VALUE"""),"")</f>
        <v/>
      </c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>
      <c r="A410" s="21">
        <f ca="1">IFERROR(__xludf.DUMMYFUNCTION("""COMPUTED_VALUE"""),1167640603)</f>
        <v>1167640603</v>
      </c>
      <c r="B410" s="19" t="str">
        <f ca="1">IFERROR(__xludf.DUMMYFUNCTION("""COMPUTED_VALUE"""),"kulakgislaine20220805120526")</f>
        <v>kulakgislaine20220805120526</v>
      </c>
      <c r="C410" s="22" t="str">
        <f ca="1">IFERROR(__xludf.DUMMYFUNCTION("""COMPUTED_VALUE"""),"https://www.instagram.com/enxovaldagi?igsh=MWRlMmM4OGl2ZjF2eQ%3D%3D&amp;utm_source=qr")</f>
        <v>https://www.instagram.com/enxovaldagi?igsh=MWRlMmM4OGl2ZjF2eQ%3D%3D&amp;utm_source=qr</v>
      </c>
      <c r="D410" s="19">
        <f ca="1">IFERROR(__xludf.DUMMYFUNCTION("""COMPUTED_VALUE"""),120000)</f>
        <v>120000</v>
      </c>
      <c r="E410" s="22" t="str">
        <f ca="1">IFERROR(__xludf.DUMMYFUNCTION("""COMPUTED_VALUE"""),"https://www.tiktok.com/@enxovalldagi?_t=ZM-90Q0j1FVlpA&amp;_r=1")</f>
        <v>https://www.tiktok.com/@enxovalldagi?_t=ZM-90Q0j1FVlpA&amp;_r=1</v>
      </c>
      <c r="F410" s="19">
        <f ca="1">IFERROR(__xludf.DUMMYFUNCTION("""COMPUTED_VALUE"""),33000)</f>
        <v>33000</v>
      </c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>
      <c r="A411" s="21">
        <f ca="1">IFERROR(__xludf.DUMMYFUNCTION("""COMPUTED_VALUE"""),257207451)</f>
        <v>257207451</v>
      </c>
      <c r="B411" s="19" t="str">
        <f ca="1">IFERROR(__xludf.DUMMYFUNCTION("""COMPUTED_VALUE"""),"seuachadosonline")</f>
        <v>seuachadosonline</v>
      </c>
      <c r="C411" s="22" t="str">
        <f ca="1">IFERROR(__xludf.DUMMYFUNCTION("""COMPUTED_VALUE"""),"https://www.instagram.com/seusachadosonline?igsh=N252dThweGNpamd2&amp;utm_source=qr")</f>
        <v>https://www.instagram.com/seusachadosonline?igsh=N252dThweGNpamd2&amp;utm_source=qr</v>
      </c>
      <c r="D411" s="19">
        <f ca="1">IFERROR(__xludf.DUMMYFUNCTION("""COMPUTED_VALUE"""),26700)</f>
        <v>26700</v>
      </c>
      <c r="E411" s="22" t="str">
        <f ca="1">IFERROR(__xludf.DUMMYFUNCTION("""COMPUTED_VALUE"""),"https://www.tiktok.com/@achadosonnline?_t=ZM-8xhsyJXxdhd&amp;_r=1")</f>
        <v>https://www.tiktok.com/@achadosonnline?_t=ZM-8xhsyJXxdhd&amp;_r=1</v>
      </c>
      <c r="F411" s="19">
        <f ca="1">IFERROR(__xludf.DUMMYFUNCTION("""COMPUTED_VALUE"""),109)</f>
        <v>109</v>
      </c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>
      <c r="A412" s="21">
        <f ca="1">IFERROR(__xludf.DUMMYFUNCTION("""COMPUTED_VALUE"""),283174736)</f>
        <v>283174736</v>
      </c>
      <c r="B412" s="19" t="str">
        <f ca="1">IFERROR(__xludf.DUMMYFUNCTION("""COMPUTED_VALUE"""),"pameladombosco")</f>
        <v>pameladombosco</v>
      </c>
      <c r="C412" s="22" t="str">
        <f ca="1">IFERROR(__xludf.DUMMYFUNCTION("""COMPUTED_VALUE"""),"https://www.instagram.com/pamferreira.matos?igsh=MWdxbGQzam1pOTN4OA%3D%3D&amp;utm_source=qr")</f>
        <v>https://www.instagram.com/pamferreira.matos?igsh=MWdxbGQzam1pOTN4OA%3D%3D&amp;utm_source=qr</v>
      </c>
      <c r="D412" s="19">
        <f ca="1">IFERROR(__xludf.DUMMYFUNCTION("""COMPUTED_VALUE"""),174000)</f>
        <v>174000</v>
      </c>
      <c r="E412" s="22" t="str">
        <f ca="1">IFERROR(__xludf.DUMMYFUNCTION("""COMPUTED_VALUE"""),"https://www.tiktok.com/@pamferreira.makeup?_t=ZM-8yzLwuX0oLO&amp;_r=1")</f>
        <v>https://www.tiktok.com/@pamferreira.makeup?_t=ZM-8yzLwuX0oLO&amp;_r=1</v>
      </c>
      <c r="F412" s="19">
        <f ca="1">IFERROR(__xludf.DUMMYFUNCTION("""COMPUTED_VALUE"""),114900)</f>
        <v>114900</v>
      </c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>
      <c r="A413" s="21">
        <f ca="1">IFERROR(__xludf.DUMMYFUNCTION("""COMPUTED_VALUE"""),1548184216)</f>
        <v>1548184216</v>
      </c>
      <c r="B413" s="19" t="str">
        <f ca="1">IFERROR(__xludf.DUMMYFUNCTION("""COMPUTED_VALUE"""),"promospot")</f>
        <v>promospot</v>
      </c>
      <c r="C413" s="19" t="str">
        <f ca="1">IFERROR(__xludf.DUMMYFUNCTION("""COMPUTED_VALUE"""),"")</f>
        <v/>
      </c>
      <c r="D413" s="19" t="str">
        <f ca="1">IFERROR(__xludf.DUMMYFUNCTION("""COMPUTED_VALUE"""),"")</f>
        <v/>
      </c>
      <c r="E413" s="19" t="str">
        <f ca="1">IFERROR(__xludf.DUMMYFUNCTION("""COMPUTED_VALUE"""),"")</f>
        <v/>
      </c>
      <c r="F413" s="19" t="str">
        <f ca="1">IFERROR(__xludf.DUMMYFUNCTION("""COMPUTED_VALUE"""),"")</f>
        <v/>
      </c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>
      <c r="A414" s="21">
        <f ca="1">IFERROR(__xludf.DUMMYFUNCTION("""COMPUTED_VALUE"""),795647618)</f>
        <v>795647618</v>
      </c>
      <c r="B414" s="19" t="str">
        <f ca="1">IFERROR(__xludf.DUMMYFUNCTION("""COMPUTED_VALUE"""),"chanelmelhorescolha")</f>
        <v>chanelmelhorescolha</v>
      </c>
      <c r="C414" s="22" t="str">
        <f ca="1">IFERROR(__xludf.DUMMYFUNCTION("""COMPUTED_VALUE"""),"https://www.instagram.com/lorrainessan/")</f>
        <v>https://www.instagram.com/lorrainessan/</v>
      </c>
      <c r="D414" s="19">
        <f ca="1">IFERROR(__xludf.DUMMYFUNCTION("""COMPUTED_VALUE"""),334)</f>
        <v>334</v>
      </c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>
      <c r="A415" s="21">
        <f ca="1">IFERROR(__xludf.DUMMYFUNCTION("""COMPUTED_VALUE"""),176218759)</f>
        <v>176218759</v>
      </c>
      <c r="B415" s="19" t="str">
        <f ca="1">IFERROR(__xludf.DUMMYFUNCTION("""COMPUTED_VALUE"""),"caramelopromos")</f>
        <v>caramelopromos</v>
      </c>
      <c r="C415" s="22" t="str">
        <f ca="1">IFERROR(__xludf.DUMMYFUNCTION("""COMPUTED_VALUE"""),"instagram.com/caramelopromos")</f>
        <v>instagram.com/caramelopromos</v>
      </c>
      <c r="D415" s="19">
        <f ca="1">IFERROR(__xludf.DUMMYFUNCTION("""COMPUTED_VALUE"""),1000)</f>
        <v>1000</v>
      </c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>
      <c r="A416" s="21">
        <f ca="1">IFERROR(__xludf.DUMMYFUNCTION("""COMPUTED_VALUE"""),6467875)</f>
        <v>6467875</v>
      </c>
      <c r="B416" s="19" t="str">
        <f ca="1">IFERROR(__xludf.DUMMYFUNCTION("""COMPUTED_VALUE"""),"phacsantos")</f>
        <v>phacsantos</v>
      </c>
      <c r="C416" s="22" t="str">
        <f ca="1">IFERROR(__xludf.DUMMYFUNCTION("""COMPUTED_VALUE"""),"https://www.instagram.com/ipromosvip")</f>
        <v>https://www.instagram.com/ipromosvip</v>
      </c>
      <c r="D416" s="19">
        <f ca="1">IFERROR(__xludf.DUMMYFUNCTION("""COMPUTED_VALUE"""),10)</f>
        <v>10</v>
      </c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>
      <c r="A417" s="21">
        <f ca="1">IFERROR(__xludf.DUMMYFUNCTION("""COMPUTED_VALUE"""),206854113)</f>
        <v>206854113</v>
      </c>
      <c r="B417" s="19" t="str">
        <f ca="1">IFERROR(__xludf.DUMMYFUNCTION("""COMPUTED_VALUE"""),"maaymatos40")</f>
        <v>maaymatos40</v>
      </c>
      <c r="C417" s="19" t="str">
        <f ca="1">IFERROR(__xludf.DUMMYFUNCTION("""COMPUTED_VALUE"""),"")</f>
        <v/>
      </c>
      <c r="D417" s="19" t="str">
        <f ca="1">IFERROR(__xludf.DUMMYFUNCTION("""COMPUTED_VALUE"""),"")</f>
        <v/>
      </c>
      <c r="E417" s="19" t="str">
        <f ca="1">IFERROR(__xludf.DUMMYFUNCTION("""COMPUTED_VALUE"""),"")</f>
        <v/>
      </c>
      <c r="F417" s="19" t="str">
        <f ca="1">IFERROR(__xludf.DUMMYFUNCTION("""COMPUTED_VALUE"""),"")</f>
        <v/>
      </c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>
      <c r="A418" s="21">
        <f ca="1">IFERROR(__xludf.DUMMYFUNCTION("""COMPUTED_VALUE"""),30502675)</f>
        <v>30502675</v>
      </c>
      <c r="B418" s="19" t="str">
        <f ca="1">IFERROR(__xludf.DUMMYFUNCTION("""COMPUTED_VALUE"""),"s9andre")</f>
        <v>s9andre</v>
      </c>
      <c r="C418" s="22" t="str">
        <f ca="1">IFERROR(__xludf.DUMMYFUNCTION("""COMPUTED_VALUE"""),"https://www.instagram.com/ofertas_infantil/")</f>
        <v>https://www.instagram.com/ofertas_infantil/</v>
      </c>
      <c r="D418" s="19">
        <f ca="1">IFERROR(__xludf.DUMMYFUNCTION("""COMPUTED_VALUE"""),20600)</f>
        <v>20600</v>
      </c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>
      <c r="A419" s="21">
        <f ca="1">IFERROR(__xludf.DUMMYFUNCTION("""COMPUTED_VALUE"""),229491441)</f>
        <v>229491441</v>
      </c>
      <c r="B419" s="19" t="str">
        <f ca="1">IFERROR(__xludf.DUMMYFUNCTION("""COMPUTED_VALUE"""),"alveslilian299")</f>
        <v>alveslilian299</v>
      </c>
      <c r="C419" s="22" t="str">
        <f ca="1">IFERROR(__xludf.DUMMYFUNCTION("""COMPUTED_VALUE"""),"https://www.instagram.com/promocoesuteiss?igsh=MXA5dGlqcWowZXY0Nw%3D%3D&amp;utm_source=qr")</f>
        <v>https://www.instagram.com/promocoesuteiss?igsh=MXA5dGlqcWowZXY0Nw%3D%3D&amp;utm_source=qr</v>
      </c>
      <c r="D419" s="19">
        <f ca="1">IFERROR(__xludf.DUMMYFUNCTION("""COMPUTED_VALUE"""),37000)</f>
        <v>37000</v>
      </c>
      <c r="E419" s="22" t="str">
        <f ca="1">IFERROR(__xludf.DUMMYFUNCTION("""COMPUTED_VALUE"""),"https://www.tiktok.com/@lilianalves8719?_t=ZM-8yzLnsUhoVp&amp;_r=1")</f>
        <v>https://www.tiktok.com/@lilianalves8719?_t=ZM-8yzLnsUhoVp&amp;_r=1</v>
      </c>
      <c r="F419" s="19">
        <f ca="1">IFERROR(__xludf.DUMMYFUNCTION("""COMPUTED_VALUE"""),227)</f>
        <v>227</v>
      </c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>
      <c r="A420" s="21">
        <f ca="1">IFERROR(__xludf.DUMMYFUNCTION("""COMPUTED_VALUE"""),324150232)</f>
        <v>324150232</v>
      </c>
      <c r="B420" s="19" t="str">
        <f ca="1">IFERROR(__xludf.DUMMYFUNCTION("""COMPUTED_VALUE"""),"matheuszanettibarbosa")</f>
        <v>matheuszanettibarbosa</v>
      </c>
      <c r="C420" s="19" t="str">
        <f ca="1">IFERROR(__xludf.DUMMYFUNCTION("""COMPUTED_VALUE"""),"")</f>
        <v/>
      </c>
      <c r="D420" s="19" t="str">
        <f ca="1">IFERROR(__xludf.DUMMYFUNCTION("""COMPUTED_VALUE"""),"")</f>
        <v/>
      </c>
      <c r="E420" s="19" t="str">
        <f ca="1">IFERROR(__xludf.DUMMYFUNCTION("""COMPUTED_VALUE"""),"")</f>
        <v/>
      </c>
      <c r="F420" s="19" t="str">
        <f ca="1">IFERROR(__xludf.DUMMYFUNCTION("""COMPUTED_VALUE"""),"")</f>
        <v/>
      </c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>
      <c r="A421" s="21">
        <f ca="1">IFERROR(__xludf.DUMMYFUNCTION("""COMPUTED_VALUE"""),324279904)</f>
        <v>324279904</v>
      </c>
      <c r="B421" s="19" t="str">
        <f ca="1">IFERROR(__xludf.DUMMYFUNCTION("""COMPUTED_VALUE"""),"viguedes2016")</f>
        <v>viguedes2016</v>
      </c>
      <c r="C421" s="22" t="str">
        <f ca="1">IFERROR(__xludf.DUMMYFUNCTION("""COMPUTED_VALUE"""),"https://www.instagram.com/cantinhodasmanicuresofc?igsh=MTd5bGYxNGhlMXNhMQ==")</f>
        <v>https://www.instagram.com/cantinhodasmanicuresofc?igsh=MTd5bGYxNGhlMXNhMQ==</v>
      </c>
      <c r="D421" s="19">
        <f ca="1">IFERROR(__xludf.DUMMYFUNCTION("""COMPUTED_VALUE"""),190000)</f>
        <v>190000</v>
      </c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>
      <c r="A422" s="21">
        <f ca="1">IFERROR(__xludf.DUMMYFUNCTION("""COMPUTED_VALUE"""),228650132)</f>
        <v>228650132</v>
      </c>
      <c r="B422" s="19" t="str">
        <f ca="1">IFERROR(__xludf.DUMMYFUNCTION("""COMPUTED_VALUE"""),"dayanneeferreira28")</f>
        <v>dayanneeferreira28</v>
      </c>
      <c r="C422" s="19" t="str">
        <f ca="1">IFERROR(__xludf.DUMMYFUNCTION("""COMPUTED_VALUE"""),"")</f>
        <v/>
      </c>
      <c r="D422" s="19" t="str">
        <f ca="1">IFERROR(__xludf.DUMMYFUNCTION("""COMPUTED_VALUE"""),"")</f>
        <v/>
      </c>
      <c r="E422" s="19" t="str">
        <f ca="1">IFERROR(__xludf.DUMMYFUNCTION("""COMPUTED_VALUE"""),"")</f>
        <v/>
      </c>
      <c r="F422" s="19" t="str">
        <f ca="1">IFERROR(__xludf.DUMMYFUNCTION("""COMPUTED_VALUE"""),"")</f>
        <v/>
      </c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>
      <c r="A423" s="21">
        <f ca="1">IFERROR(__xludf.DUMMYFUNCTION("""COMPUTED_VALUE"""),218453638)</f>
        <v>218453638</v>
      </c>
      <c r="B423" s="19" t="str">
        <f ca="1">IFERROR(__xludf.DUMMYFUNCTION("""COMPUTED_VALUE"""),"best_tech")</f>
        <v>best_tech</v>
      </c>
      <c r="C423" s="19" t="str">
        <f ca="1">IFERROR(__xludf.DUMMYFUNCTION("""COMPUTED_VALUE"""),"")</f>
        <v/>
      </c>
      <c r="D423" s="19" t="str">
        <f ca="1">IFERROR(__xludf.DUMMYFUNCTION("""COMPUTED_VALUE"""),"")</f>
        <v/>
      </c>
      <c r="E423" s="19" t="str">
        <f ca="1">IFERROR(__xludf.DUMMYFUNCTION("""COMPUTED_VALUE"""),"")</f>
        <v/>
      </c>
      <c r="F423" s="19" t="str">
        <f ca="1">IFERROR(__xludf.DUMMYFUNCTION("""COMPUTED_VALUE"""),"")</f>
        <v/>
      </c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>
      <c r="A424" s="21">
        <f ca="1">IFERROR(__xludf.DUMMYFUNCTION("""COMPUTED_VALUE"""),269789297)</f>
        <v>269789297</v>
      </c>
      <c r="B424" s="19" t="str">
        <f ca="1">IFERROR(__xludf.DUMMYFUNCTION("""COMPUTED_VALUE"""),"mozuka")</f>
        <v>mozuka</v>
      </c>
      <c r="C424" s="19" t="str">
        <f ca="1">IFERROR(__xludf.DUMMYFUNCTION("""COMPUTED_VALUE"""),"")</f>
        <v/>
      </c>
      <c r="D424" s="19" t="str">
        <f ca="1">IFERROR(__xludf.DUMMYFUNCTION("""COMPUTED_VALUE"""),"")</f>
        <v/>
      </c>
      <c r="E424" s="19" t="str">
        <f ca="1">IFERROR(__xludf.DUMMYFUNCTION("""COMPUTED_VALUE"""),"")</f>
        <v/>
      </c>
      <c r="F424" s="19" t="str">
        <f ca="1">IFERROR(__xludf.DUMMYFUNCTION("""COMPUTED_VALUE"""),"")</f>
        <v/>
      </c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>
      <c r="A425" s="21">
        <f ca="1">IFERROR(__xludf.DUMMYFUNCTION("""COMPUTED_VALUE"""),1481556708)</f>
        <v>1481556708</v>
      </c>
      <c r="B425" s="19" t="str">
        <f ca="1">IFERROR(__xludf.DUMMYFUNCTION("""COMPUTED_VALUE"""),"dsr-20")</f>
        <v>dsr-20</v>
      </c>
      <c r="C425" s="22" t="str">
        <f ca="1">IFERROR(__xludf.DUMMYFUNCTION("""COMPUTED_VALUE"""),"https://www.instagram.com/diego1.rodrigues?igsh=MTB5d2Z3cDJpMHZ5dw==")</f>
        <v>https://www.instagram.com/diego1.rodrigues?igsh=MTB5d2Z3cDJpMHZ5dw==</v>
      </c>
      <c r="D425" s="19">
        <f ca="1">IFERROR(__xludf.DUMMYFUNCTION("""COMPUTED_VALUE"""),184)</f>
        <v>184</v>
      </c>
      <c r="E425" s="19" t="str">
        <f ca="1">IFERROR(__xludf.DUMMYFUNCTION("""COMPUTED_VALUE"""),"nao/tenho")</f>
        <v>nao/tenho</v>
      </c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>
      <c r="A426" s="21">
        <f ca="1">IFERROR(__xludf.DUMMYFUNCTION("""COMPUTED_VALUE"""),99920305)</f>
        <v>99920305</v>
      </c>
      <c r="B426" s="19" t="str">
        <f ca="1">IFERROR(__xludf.DUMMYFUNCTION("""COMPUTED_VALUE"""),"mamaesbaianas")</f>
        <v>mamaesbaianas</v>
      </c>
      <c r="C426" s="22" t="str">
        <f ca="1">IFERROR(__xludf.DUMMYFUNCTION("""COMPUTED_VALUE"""),"https://www.instagram.com/mamaesbaianas")</f>
        <v>https://www.instagram.com/mamaesbaianas</v>
      </c>
      <c r="D426" s="19">
        <f ca="1">IFERROR(__xludf.DUMMYFUNCTION("""COMPUTED_VALUE"""),101000)</f>
        <v>101000</v>
      </c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>
      <c r="A427" s="21">
        <f ca="1">IFERROR(__xludf.DUMMYFUNCTION("""COMPUTED_VALUE"""),486118420)</f>
        <v>486118420</v>
      </c>
      <c r="B427" s="19" t="str">
        <f ca="1">IFERROR(__xludf.DUMMYFUNCTION("""COMPUTED_VALUE"""),"tatiana")</f>
        <v>tatiana</v>
      </c>
      <c r="C427" s="22" t="str">
        <f ca="1">IFERROR(__xludf.DUMMYFUNCTION("""COMPUTED_VALUE"""),"https://www.instagram.com/uindistore?igsh=MXR0MGR6eXVyZXhm")</f>
        <v>https://www.instagram.com/uindistore?igsh=MXR0MGR6eXVyZXhm</v>
      </c>
      <c r="D427" s="19">
        <f ca="1">IFERROR(__xludf.DUMMYFUNCTION("""COMPUTED_VALUE"""),100000)</f>
        <v>100000</v>
      </c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>
      <c r="A428" s="21">
        <f ca="1">IFERROR(__xludf.DUMMYFUNCTION("""COMPUTED_VALUE"""),678565811)</f>
        <v>678565811</v>
      </c>
      <c r="B428" s="19" t="str">
        <f ca="1">IFERROR(__xludf.DUMMYFUNCTION("""COMPUTED_VALUE"""),"quenitaperin22")</f>
        <v>quenitaperin22</v>
      </c>
      <c r="C428" s="22" t="str">
        <f ca="1">IFERROR(__xludf.DUMMYFUNCTION("""COMPUTED_VALUE"""),"https://www.instagram.com/dicasdacoutinho?igsh=MWtocGkxb28yOHltZw%3D%3D&amp;utm_source=qr")</f>
        <v>https://www.instagram.com/dicasdacoutinho?igsh=MWtocGkxb28yOHltZw%3D%3D&amp;utm_source=qr</v>
      </c>
      <c r="D428" s="19">
        <f ca="1">IFERROR(__xludf.DUMMYFUNCTION("""COMPUTED_VALUE"""),35000)</f>
        <v>35000</v>
      </c>
      <c r="E428" s="22" t="str">
        <f ca="1">IFERROR(__xludf.DUMMYFUNCTION("""COMPUTED_VALUE"""),"https://www.tiktok.com/@dicasdacoutinhoo?_t=ZM-8yzLz9ytkdp&amp;_r=1")</f>
        <v>https://www.tiktok.com/@dicasdacoutinhoo?_t=ZM-8yzLz9ytkdp&amp;_r=1</v>
      </c>
      <c r="F428" s="19">
        <f ca="1">IFERROR(__xludf.DUMMYFUNCTION("""COMPUTED_VALUE"""),5000)</f>
        <v>5000</v>
      </c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>
      <c r="A429" s="21">
        <f ca="1">IFERROR(__xludf.DUMMYFUNCTION("""COMPUTED_VALUE"""),280944124)</f>
        <v>280944124</v>
      </c>
      <c r="B429" s="19" t="str">
        <f ca="1">IFERROR(__xludf.DUMMYFUNCTION("""COMPUTED_VALUE"""),"ligysaunders")</f>
        <v>ligysaunders</v>
      </c>
      <c r="C429" s="22" t="str">
        <f ca="1">IFERROR(__xludf.DUMMYFUNCTION("""COMPUTED_VALUE"""),"https://www.instagram.com/eupreciso.achadinhos")</f>
        <v>https://www.instagram.com/eupreciso.achadinhos</v>
      </c>
      <c r="D429" s="19">
        <f ca="1">IFERROR(__xludf.DUMMYFUNCTION("""COMPUTED_VALUE"""),94000)</f>
        <v>94000</v>
      </c>
      <c r="E429" s="22" t="str">
        <f ca="1">IFERROR(__xludf.DUMMYFUNCTION("""COMPUTED_VALUE"""),"https://www.tiktok.com/@eupreciso.achadinhos")</f>
        <v>https://www.tiktok.com/@eupreciso.achadinhos</v>
      </c>
      <c r="F429" s="19">
        <f ca="1">IFERROR(__xludf.DUMMYFUNCTION("""COMPUTED_VALUE"""),2138)</f>
        <v>2138</v>
      </c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>
      <c r="A430" s="21">
        <f ca="1">IFERROR(__xludf.DUMMYFUNCTION("""COMPUTED_VALUE"""),151885557)</f>
        <v>151885557</v>
      </c>
      <c r="B430" s="19" t="str">
        <f ca="1">IFERROR(__xludf.DUMMYFUNCTION("""COMPUTED_VALUE"""),"luana_poliedro")</f>
        <v>luana_poliedro</v>
      </c>
      <c r="C430" s="19" t="str">
        <f ca="1">IFERROR(__xludf.DUMMYFUNCTION("""COMPUTED_VALUE"""),"")</f>
        <v/>
      </c>
      <c r="D430" s="19" t="str">
        <f ca="1">IFERROR(__xludf.DUMMYFUNCTION("""COMPUTED_VALUE"""),"")</f>
        <v/>
      </c>
      <c r="E430" s="19" t="str">
        <f ca="1">IFERROR(__xludf.DUMMYFUNCTION("""COMPUTED_VALUE"""),"")</f>
        <v/>
      </c>
      <c r="F430" s="19" t="str">
        <f ca="1">IFERROR(__xludf.DUMMYFUNCTION("""COMPUTED_VALUE"""),"")</f>
        <v/>
      </c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>
      <c r="A431" s="21">
        <f ca="1">IFERROR(__xludf.DUMMYFUNCTION("""COMPUTED_VALUE"""),245617848)</f>
        <v>245617848</v>
      </c>
      <c r="B431" s="19" t="str">
        <f ca="1">IFERROR(__xludf.DUMMYFUNCTION("""COMPUTED_VALUE"""),"bazot-tech")</f>
        <v>bazot-tech</v>
      </c>
      <c r="C431" s="19" t="str">
        <f ca="1">IFERROR(__xludf.DUMMYFUNCTION("""COMPUTED_VALUE"""),"")</f>
        <v/>
      </c>
      <c r="D431" s="19" t="str">
        <f ca="1">IFERROR(__xludf.DUMMYFUNCTION("""COMPUTED_VALUE"""),"")</f>
        <v/>
      </c>
      <c r="E431" s="19" t="str">
        <f ca="1">IFERROR(__xludf.DUMMYFUNCTION("""COMPUTED_VALUE"""),"")</f>
        <v/>
      </c>
      <c r="F431" s="19" t="str">
        <f ca="1">IFERROR(__xludf.DUMMYFUNCTION("""COMPUTED_VALUE"""),"")</f>
        <v/>
      </c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>
      <c r="A432" s="21">
        <f ca="1">IFERROR(__xludf.DUMMYFUNCTION("""COMPUTED_VALUE"""),334501639)</f>
        <v>334501639</v>
      </c>
      <c r="B432" s="19" t="str">
        <f ca="1">IFERROR(__xludf.DUMMYFUNCTION("""COMPUTED_VALUE"""),"maxwilliamvendas")</f>
        <v>maxwilliamvendas</v>
      </c>
      <c r="C432" s="22" t="str">
        <f ca="1">IFERROR(__xludf.DUMMYFUNCTION("""COMPUTED_VALUE"""),"https://www.instagram.com/maxwilliam.oficial?igsh=MWluN3dldTIyNjVjYQ==")</f>
        <v>https://www.instagram.com/maxwilliam.oficial?igsh=MWluN3dldTIyNjVjYQ==</v>
      </c>
      <c r="D432" s="19">
        <f ca="1">IFERROR(__xludf.DUMMYFUNCTION("""COMPUTED_VALUE"""),525000)</f>
        <v>525000</v>
      </c>
      <c r="E432" s="19"/>
      <c r="F432" s="19">
        <f ca="1">IFERROR(__xludf.DUMMYFUNCTION("""COMPUTED_VALUE"""),200000)</f>
        <v>200000</v>
      </c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>
      <c r="A433" s="21">
        <f ca="1">IFERROR(__xludf.DUMMYFUNCTION("""COMPUTED_VALUE"""),231593167)</f>
        <v>231593167</v>
      </c>
      <c r="B433" s="19" t="str">
        <f ca="1">IFERROR(__xludf.DUMMYFUNCTION("""COMPUTED_VALUE"""),"topoferta")</f>
        <v>topoferta</v>
      </c>
      <c r="C433" s="22" t="str">
        <f ca="1">IFERROR(__xludf.DUMMYFUNCTION("""COMPUTED_VALUE"""),"https://www.instagram.com/laisfrojoni")</f>
        <v>https://www.instagram.com/laisfrojoni</v>
      </c>
      <c r="D433" s="19">
        <f ca="1">IFERROR(__xludf.DUMMYFUNCTION("""COMPUTED_VALUE"""),821)</f>
        <v>821</v>
      </c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>
      <c r="A434" s="21">
        <f ca="1">IFERROR(__xludf.DUMMYFUNCTION("""COMPUTED_VALUE"""),30445995)</f>
        <v>30445995</v>
      </c>
      <c r="B434" s="19" t="str">
        <f ca="1">IFERROR(__xludf.DUMMYFUNCTION("""COMPUTED_VALUE"""),"danusadors")</f>
        <v>danusadors</v>
      </c>
      <c r="C434" s="22" t="str">
        <f ca="1">IFERROR(__xludf.DUMMYFUNCTION("""COMPUTED_VALUE"""),"https://www.instagram.com/dicasdadanu?igsh=cWIwZmE4cmdjY3V0&amp;utm_source=qr")</f>
        <v>https://www.instagram.com/dicasdadanu?igsh=cWIwZmE4cmdjY3V0&amp;utm_source=qr</v>
      </c>
      <c r="D434" s="19">
        <f ca="1">IFERROR(__xludf.DUMMYFUNCTION("""COMPUTED_VALUE"""),112000)</f>
        <v>112000</v>
      </c>
      <c r="E434" s="22" t="str">
        <f ca="1">IFERROR(__xludf.DUMMYFUNCTION("""COMPUTED_VALUE"""),"https://www.tiktok.com/@dicasdadanu?_t=ZM-8ygp8t9YqPw&amp;_r=1")</f>
        <v>https://www.tiktok.com/@dicasdadanu?_t=ZM-8ygp8t9YqPw&amp;_r=1</v>
      </c>
      <c r="F434" s="19">
        <f ca="1">IFERROR(__xludf.DUMMYFUNCTION("""COMPUTED_VALUE"""),1950)</f>
        <v>1950</v>
      </c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>
      <c r="A435" s="21">
        <f ca="1">IFERROR(__xludf.DUMMYFUNCTION("""COMPUTED_VALUE"""),286235056)</f>
        <v>286235056</v>
      </c>
      <c r="B435" s="19" t="str">
        <f ca="1">IFERROR(__xludf.DUMMYFUNCTION("""COMPUTED_VALUE"""),"larissamarchetti")</f>
        <v>larissamarchetti</v>
      </c>
      <c r="C435" s="22" t="str">
        <f ca="1">IFERROR(__xludf.DUMMYFUNCTION("""COMPUTED_VALUE"""),"https://www.youtube.com/@AnaliseIncrivel")</f>
        <v>https://www.youtube.com/@AnaliseIncrivel</v>
      </c>
      <c r="D435" s="19">
        <f ca="1">IFERROR(__xludf.DUMMYFUNCTION("""COMPUTED_VALUE"""),10100)</f>
        <v>10100</v>
      </c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>
      <c r="A436" s="21">
        <f ca="1">IFERROR(__xludf.DUMMYFUNCTION("""COMPUTED_VALUE"""),1217794331)</f>
        <v>1217794331</v>
      </c>
      <c r="B436" s="19" t="str">
        <f ca="1">IFERROR(__xludf.DUMMYFUNCTION("""COMPUTED_VALUE"""),"araujolarissa20221014183931")</f>
        <v>araujolarissa20221014183931</v>
      </c>
      <c r="C436" s="19" t="str">
        <f ca="1">IFERROR(__xludf.DUMMYFUNCTION("""COMPUTED_VALUE"""),"https://www.instagram.com/seudescontoonlinee/  https://www.instagram.com/eulindabella/")</f>
        <v>https://www.instagram.com/seudescontoonlinee/  https://www.instagram.com/eulindabella/</v>
      </c>
      <c r="D436" s="19">
        <f ca="1">IFERROR(__xludf.DUMMYFUNCTION("""COMPUTED_VALUE"""),200)</f>
        <v>200</v>
      </c>
      <c r="E436" s="22" t="str">
        <f ca="1">IFERROR(__xludf.DUMMYFUNCTION("""COMPUTED_VALUE"""),"https://www.tiktok.com/@eulindabellaindica")</f>
        <v>https://www.tiktok.com/@eulindabellaindica</v>
      </c>
      <c r="F436" s="19">
        <f ca="1">IFERROR(__xludf.DUMMYFUNCTION("""COMPUTED_VALUE"""),2000)</f>
        <v>2000</v>
      </c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>
      <c r="A437" s="21">
        <f ca="1">IFERROR(__xludf.DUMMYFUNCTION("""COMPUTED_VALUE"""),136554975)</f>
        <v>136554975</v>
      </c>
      <c r="B437" s="19" t="str">
        <f ca="1">IFERROR(__xludf.DUMMYFUNCTION("""COMPUTED_VALUE"""),"linselizabeth72")</f>
        <v>linselizabeth72</v>
      </c>
      <c r="C437" s="22" t="str">
        <f ca="1">IFERROR(__xludf.DUMMYFUNCTION("""COMPUTED_VALUE"""),"https://www.instagram.com/elizabethlins.br?igsh=MXhmbXgzbXFvdHI2Mg%3D%3D&amp;utm_source=qr")</f>
        <v>https://www.instagram.com/elizabethlins.br?igsh=MXhmbXgzbXFvdHI2Mg%3D%3D&amp;utm_source=qr</v>
      </c>
      <c r="D437" s="19">
        <f ca="1">IFERROR(__xludf.DUMMYFUNCTION("""COMPUTED_VALUE"""),2)</f>
        <v>2</v>
      </c>
      <c r="E437" s="22" t="str">
        <f ca="1">IFERROR(__xludf.DUMMYFUNCTION("""COMPUTED_VALUE"""),"https://www.tiktok.com/@elizabethlins.br?_t=ZM-8yzfIY0Y9l2&amp;_r=1")</f>
        <v>https://www.tiktok.com/@elizabethlins.br?_t=ZM-8yzfIY0Y9l2&amp;_r=1</v>
      </c>
      <c r="F437" s="19">
        <f ca="1">IFERROR(__xludf.DUMMYFUNCTION("""COMPUTED_VALUE"""),2559)</f>
        <v>2559</v>
      </c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>
      <c r="A438" s="21">
        <f ca="1">IFERROR(__xludf.DUMMYFUNCTION("""COMPUTED_VALUE"""),1114065021)</f>
        <v>1114065021</v>
      </c>
      <c r="B438" s="19" t="str">
        <f ca="1">IFERROR(__xludf.DUMMYFUNCTION("""COMPUTED_VALUE"""),"tenorioisabel20220427192247")</f>
        <v>tenorioisabel20220427192247</v>
      </c>
      <c r="C438" s="19" t="str">
        <f ca="1">IFERROR(__xludf.DUMMYFUNCTION("""COMPUTED_VALUE"""),"")</f>
        <v/>
      </c>
      <c r="D438" s="19" t="str">
        <f ca="1">IFERROR(__xludf.DUMMYFUNCTION("""COMPUTED_VALUE"""),"")</f>
        <v/>
      </c>
      <c r="E438" s="19" t="str">
        <f ca="1">IFERROR(__xludf.DUMMYFUNCTION("""COMPUTED_VALUE"""),"")</f>
        <v/>
      </c>
      <c r="F438" s="19" t="str">
        <f ca="1">IFERROR(__xludf.DUMMYFUNCTION("""COMPUTED_VALUE"""),"")</f>
        <v/>
      </c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>
      <c r="A439" s="21">
        <f ca="1">IFERROR(__xludf.DUMMYFUNCTION("""COMPUTED_VALUE"""),73418100)</f>
        <v>73418100</v>
      </c>
      <c r="B439" s="19" t="str">
        <f ca="1">IFERROR(__xludf.DUMMYFUNCTION("""COMPUTED_VALUE"""),"guiaproduto")</f>
        <v>guiaproduto</v>
      </c>
      <c r="C439" s="22" t="str">
        <f ca="1">IFERROR(__xludf.DUMMYFUNCTION("""COMPUTED_VALUE"""),"http://www.instagram.com/guiaproduto")</f>
        <v>http://www.instagram.com/guiaproduto</v>
      </c>
      <c r="D439" s="19">
        <f ca="1">IFERROR(__xludf.DUMMYFUNCTION("""COMPUTED_VALUE"""),1600)</f>
        <v>1600</v>
      </c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>
      <c r="A440" s="21">
        <f ca="1">IFERROR(__xludf.DUMMYFUNCTION("""COMPUTED_VALUE"""),1436446356)</f>
        <v>1436446356</v>
      </c>
      <c r="B440" s="19" t="str">
        <f ca="1">IFERROR(__xludf.DUMMYFUNCTION("""COMPUTED_VALUE"""),"viniciusvinicius20230728234646")</f>
        <v>viniciusvinicius20230728234646</v>
      </c>
      <c r="C440" s="22" t="str">
        <f ca="1">IFERROR(__xludf.DUMMYFUNCTION("""COMPUTED_VALUE"""),"https://www.instagram.com/vinialbergoni/profilecard/?igsh=NHB0am5mMG96NXVu")</f>
        <v>https://www.instagram.com/vinialbergoni/profilecard/?igsh=NHB0am5mMG96NXVu</v>
      </c>
      <c r="D440" s="19">
        <f ca="1">IFERROR(__xludf.DUMMYFUNCTION("""COMPUTED_VALUE"""),417000)</f>
        <v>417000</v>
      </c>
      <c r="E440" s="22" t="str">
        <f ca="1">IFERROR(__xludf.DUMMYFUNCTION("""COMPUTED_VALUE"""),"https://www.tiktok.com/@viniciusalbergoni?_t=ZM-8xh1Qf2Do2f&amp;_r=1")</f>
        <v>https://www.tiktok.com/@viniciusalbergoni?_t=ZM-8xh1Qf2Do2f&amp;_r=1</v>
      </c>
      <c r="F440" s="19">
        <f ca="1">IFERROR(__xludf.DUMMYFUNCTION("""COMPUTED_VALUE"""),1400000)</f>
        <v>1400000</v>
      </c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>
      <c r="A441" s="21">
        <f ca="1">IFERROR(__xludf.DUMMYFUNCTION("""COMPUTED_VALUE"""),230037521)</f>
        <v>230037521</v>
      </c>
      <c r="B441" s="19" t="str">
        <f ca="1">IFERROR(__xludf.DUMMYFUNCTION("""COMPUTED_VALUE"""),"rafazagarelli")</f>
        <v>rafazagarelli</v>
      </c>
      <c r="C441" s="22" t="str">
        <f ca="1">IFERROR(__xludf.DUMMYFUNCTION("""COMPUTED_VALUE"""),"https://www.instagram.com/rafaelazagarelli?")</f>
        <v>https://www.instagram.com/rafaelazagarelli?</v>
      </c>
      <c r="D441" s="19">
        <f ca="1">IFERROR(__xludf.DUMMYFUNCTION("""COMPUTED_VALUE"""),4500)</f>
        <v>4500</v>
      </c>
      <c r="E441" s="22" t="str">
        <f ca="1">IFERROR(__xludf.DUMMYFUNCTION("""COMPUTED_VALUE"""),"https://www.tiktok.com/@zagabeauty?")</f>
        <v>https://www.tiktok.com/@zagabeauty?</v>
      </c>
      <c r="F441" s="19">
        <f ca="1">IFERROR(__xludf.DUMMYFUNCTION("""COMPUTED_VALUE"""),200)</f>
        <v>200</v>
      </c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>
      <c r="A442" s="21">
        <f ca="1">IFERROR(__xludf.DUMMYFUNCTION("""COMPUTED_VALUE"""),1777564621)</f>
        <v>1777564621</v>
      </c>
      <c r="B442" s="19" t="str">
        <f ca="1">IFERROR(__xludf.DUMMYFUNCTION("""COMPUTED_VALUE"""),"financeiro")</f>
        <v>financeiro</v>
      </c>
      <c r="C442" s="22" t="str">
        <f ca="1">IFERROR(__xludf.DUMMYFUNCTION("""COMPUTED_VALUE"""),"instagram.com/passageirodequinta")</f>
        <v>instagram.com/passageirodequinta</v>
      </c>
      <c r="D442" s="19">
        <f ca="1">IFERROR(__xludf.DUMMYFUNCTION("""COMPUTED_VALUE"""),46000)</f>
        <v>46000</v>
      </c>
      <c r="E442" s="22" t="str">
        <f ca="1">IFERROR(__xludf.DUMMYFUNCTION("""COMPUTED_VALUE"""),"tiktok.com")</f>
        <v>tiktok.com</v>
      </c>
      <c r="F442" s="19">
        <f ca="1">IFERROR(__xludf.DUMMYFUNCTION("""COMPUTED_VALUE"""),0)</f>
        <v>0</v>
      </c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>
      <c r="A443" s="21">
        <f ca="1">IFERROR(__xludf.DUMMYFUNCTION("""COMPUTED_VALUE"""),494727814)</f>
        <v>494727814</v>
      </c>
      <c r="B443" s="19" t="str">
        <f ca="1">IFERROR(__xludf.DUMMYFUNCTION("""COMPUTED_VALUE"""),"sova3223296")</f>
        <v>sova3223296</v>
      </c>
      <c r="C443" s="22" t="str">
        <f ca="1">IFERROR(__xludf.DUMMYFUNCTION("""COMPUTED_VALUE"""),"https://www.instagram.com/comprasdapaty_?igsh=c3lrdzU2NXkzMmxl&amp;utm_source=qr")</f>
        <v>https://www.instagram.com/comprasdapaty_?igsh=c3lrdzU2NXkzMmxl&amp;utm_source=qr</v>
      </c>
      <c r="D443" s="19">
        <f ca="1">IFERROR(__xludf.DUMMYFUNCTION("""COMPUTED_VALUE"""),97000)</f>
        <v>97000</v>
      </c>
      <c r="E443" s="22" t="str">
        <f ca="1">IFERROR(__xludf.DUMMYFUNCTION("""COMPUTED_VALUE"""),"https://www.tiktok.com/@coisasdepatyy_?_t=ZM-8xiuZb5nAvd&amp;_r=1")</f>
        <v>https://www.tiktok.com/@coisasdepatyy_?_t=ZM-8xiuZb5nAvd&amp;_r=1</v>
      </c>
      <c r="F443" s="19">
        <f ca="1">IFERROR(__xludf.DUMMYFUNCTION("""COMPUTED_VALUE"""),2000)</f>
        <v>2000</v>
      </c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>
      <c r="A444" s="21">
        <f ca="1">IFERROR(__xludf.DUMMYFUNCTION("""COMPUTED_VALUE"""),63186757)</f>
        <v>63186757</v>
      </c>
      <c r="B444" s="19" t="str">
        <f ca="1">IFERROR(__xludf.DUMMYFUNCTION("""COMPUTED_VALUE"""),"gabrielamachado21")</f>
        <v>gabrielamachado21</v>
      </c>
      <c r="C444" s="22" t="str">
        <f ca="1">IFERROR(__xludf.DUMMYFUNCTION("""COMPUTED_VALUE"""),"https://www.instagram.com/gabymachadoatelie")</f>
        <v>https://www.instagram.com/gabymachadoatelie</v>
      </c>
      <c r="D444" s="19">
        <f ca="1">IFERROR(__xludf.DUMMYFUNCTION("""COMPUTED_VALUE"""),12000)</f>
        <v>12000</v>
      </c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>
      <c r="A445" s="21">
        <f ca="1">IFERROR(__xludf.DUMMYFUNCTION("""COMPUTED_VALUE"""),1867187061)</f>
        <v>1867187061</v>
      </c>
      <c r="B445" s="19" t="str">
        <f ca="1">IFERROR(__xludf.DUMMYFUNCTION("""COMPUTED_VALUE"""),"ah20240621214819")</f>
        <v>ah20240621214819</v>
      </c>
      <c r="C445" s="19" t="str">
        <f ca="1">IFERROR(__xludf.DUMMYFUNCTION("""COMPUTED_VALUE"""),"")</f>
        <v/>
      </c>
      <c r="D445" s="19" t="str">
        <f ca="1">IFERROR(__xludf.DUMMYFUNCTION("""COMPUTED_VALUE"""),"")</f>
        <v/>
      </c>
      <c r="E445" s="19" t="str">
        <f ca="1">IFERROR(__xludf.DUMMYFUNCTION("""COMPUTED_VALUE"""),"")</f>
        <v/>
      </c>
      <c r="F445" s="19" t="str">
        <f ca="1">IFERROR(__xludf.DUMMYFUNCTION("""COMPUTED_VALUE"""),"")</f>
        <v/>
      </c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>
      <c r="A446" s="21">
        <f ca="1">IFERROR(__xludf.DUMMYFUNCTION("""COMPUTED_VALUE"""),166720663)</f>
        <v>166720663</v>
      </c>
      <c r="B446" s="19" t="str">
        <f ca="1">IFERROR(__xludf.DUMMYFUNCTION("""COMPUTED_VALUE"""),"silvestreferreira28")</f>
        <v>silvestreferreira28</v>
      </c>
      <c r="C446" s="22" t="str">
        <f ca="1">IFERROR(__xludf.DUMMYFUNCTION("""COMPUTED_VALUE"""),"https://www.instagram.com/silverofertasofc/")</f>
        <v>https://www.instagram.com/silverofertasofc/</v>
      </c>
      <c r="D446" s="19">
        <f ca="1">IFERROR(__xludf.DUMMYFUNCTION("""COMPUTED_VALUE"""),3000)</f>
        <v>3000</v>
      </c>
      <c r="E446" s="22" t="str">
        <f ca="1">IFERROR(__xludf.DUMMYFUNCTION("""COMPUTED_VALUE"""),"https://www.tiktok.com/@silverofertasofc")</f>
        <v>https://www.tiktok.com/@silverofertasofc</v>
      </c>
      <c r="F446" s="19">
        <f ca="1">IFERROR(__xludf.DUMMYFUNCTION("""COMPUTED_VALUE"""),20)</f>
        <v>20</v>
      </c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>
      <c r="A447" s="21">
        <f ca="1">IFERROR(__xludf.DUMMYFUNCTION("""COMPUTED_VALUE"""),1440388574)</f>
        <v>1440388574</v>
      </c>
      <c r="B447" s="19" t="str">
        <f ca="1">IFERROR(__xludf.DUMMYFUNCTION("""COMPUTED_VALUE"""),"raabeluz13")</f>
        <v>raabeluz13</v>
      </c>
      <c r="C447" s="22" t="str">
        <f ca="1">IFERROR(__xludf.DUMMYFUNCTION("""COMPUTED_VALUE"""),"https://www.instagram.com/raabeluz/")</f>
        <v>https://www.instagram.com/raabeluz/</v>
      </c>
      <c r="D447" s="19">
        <f ca="1">IFERROR(__xludf.DUMMYFUNCTION("""COMPUTED_VALUE"""),9775)</f>
        <v>9775</v>
      </c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>
      <c r="A448" s="21">
        <f ca="1">IFERROR(__xludf.DUMMYFUNCTION("""COMPUTED_VALUE"""),168141091)</f>
        <v>168141091</v>
      </c>
      <c r="B448" s="19" t="str">
        <f ca="1">IFERROR(__xludf.DUMMYFUNCTION("""COMPUTED_VALUE"""),"moldandoafetofestas")</f>
        <v>moldandoafetofestas</v>
      </c>
      <c r="C448" s="22" t="str">
        <f ca="1">IFERROR(__xludf.DUMMYFUNCTION("""COMPUTED_VALUE"""),"https://www.instagram.com/metodoitnp")</f>
        <v>https://www.instagram.com/metodoitnp</v>
      </c>
      <c r="D448" s="19">
        <f ca="1">IFERROR(__xludf.DUMMYFUNCTION("""COMPUTED_VALUE"""),12000)</f>
        <v>12000</v>
      </c>
      <c r="E448" s="22" t="str">
        <f ca="1">IFERROR(__xludf.DUMMYFUNCTION("""COMPUTED_VALUE"""),"https://www.tiktok.com/@metodoitnp?is_from_webapp=1&amp;sender_device=pc")</f>
        <v>https://www.tiktok.com/@metodoitnp?is_from_webapp=1&amp;sender_device=pc</v>
      </c>
      <c r="F448" s="19">
        <f ca="1">IFERROR(__xludf.DUMMYFUNCTION("""COMPUTED_VALUE"""),9000)</f>
        <v>9000</v>
      </c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>
      <c r="A449" s="21">
        <f ca="1">IFERROR(__xludf.DUMMYFUNCTION("""COMPUTED_VALUE"""),288063877)</f>
        <v>288063877</v>
      </c>
      <c r="B449" s="19" t="str">
        <f ca="1">IFERROR(__xludf.DUMMYFUNCTION("""COMPUTED_VALUE"""),"rogetognon")</f>
        <v>rogetognon</v>
      </c>
      <c r="C449" s="22" t="str">
        <f ca="1">IFERROR(__xludf.DUMMYFUNCTION("""COMPUTED_VALUE"""),"https://www.instagram.com/promocaoweb26?igsh=MTFlYzdxaHYwb2kxYw%3D%3D&amp;utm_source=qr")</f>
        <v>https://www.instagram.com/promocaoweb26?igsh=MTFlYzdxaHYwb2kxYw%3D%3D&amp;utm_source=qr</v>
      </c>
      <c r="D449" s="19">
        <f ca="1">IFERROR(__xludf.DUMMYFUNCTION("""COMPUTED_VALUE"""),300000)</f>
        <v>300000</v>
      </c>
      <c r="E449" s="22" t="str">
        <f ca="1">IFERROR(__xludf.DUMMYFUNCTION("""COMPUTED_VALUE"""),"https://www.tiktok.com/@promocaonaweb26?_t=ZN-90FFpwn6PBe&amp;_r=1")</f>
        <v>https://www.tiktok.com/@promocaonaweb26?_t=ZN-90FFpwn6PBe&amp;_r=1</v>
      </c>
      <c r="F449" s="19">
        <f ca="1">IFERROR(__xludf.DUMMYFUNCTION("""COMPUTED_VALUE"""),1)</f>
        <v>1</v>
      </c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>
      <c r="A450" s="21">
        <f ca="1">IFERROR(__xludf.DUMMYFUNCTION("""COMPUTED_VALUE"""),270880265)</f>
        <v>270880265</v>
      </c>
      <c r="B450" s="19" t="str">
        <f ca="1">IFERROR(__xludf.DUMMYFUNCTION("""COMPUTED_VALUE"""),"giovannavargas")</f>
        <v>giovannavargas</v>
      </c>
      <c r="C450" s="19" t="str">
        <f ca="1">IFERROR(__xludf.DUMMYFUNCTION("""COMPUTED_VALUE"""),"")</f>
        <v/>
      </c>
      <c r="D450" s="19" t="str">
        <f ca="1">IFERROR(__xludf.DUMMYFUNCTION("""COMPUTED_VALUE"""),"")</f>
        <v/>
      </c>
      <c r="E450" s="19" t="str">
        <f ca="1">IFERROR(__xludf.DUMMYFUNCTION("""COMPUTED_VALUE"""),"")</f>
        <v/>
      </c>
      <c r="F450" s="19" t="str">
        <f ca="1">IFERROR(__xludf.DUMMYFUNCTION("""COMPUTED_VALUE"""),"")</f>
        <v/>
      </c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>
      <c r="A451" s="21">
        <f ca="1">IFERROR(__xludf.DUMMYFUNCTION("""COMPUTED_VALUE"""),254475551)</f>
        <v>254475551</v>
      </c>
      <c r="B451" s="19" t="str">
        <f ca="1">IFERROR(__xludf.DUMMYFUNCTION("""COMPUTED_VALUE"""),"ma_710")</f>
        <v>ma_710</v>
      </c>
      <c r="C451" s="22" t="str">
        <f ca="1">IFERROR(__xludf.DUMMYFUNCTION("""COMPUTED_VALUE"""),"https://www.instagram.com/dicadeamiga.a?igsh=MWRsZ2Z6d3F0ZnVpNQ%3D%3D&amp;utm_source=qr")</f>
        <v>https://www.instagram.com/dicadeamiga.a?igsh=MWRsZ2Z6d3F0ZnVpNQ%3D%3D&amp;utm_source=qr</v>
      </c>
      <c r="D451" s="19">
        <f ca="1">IFERROR(__xludf.DUMMYFUNCTION("""COMPUTED_VALUE"""),12000)</f>
        <v>12000</v>
      </c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>
      <c r="A452" s="21">
        <f ca="1">IFERROR(__xludf.DUMMYFUNCTION("""COMPUTED_VALUE"""),3378770)</f>
        <v>3378770</v>
      </c>
      <c r="B452" s="19" t="str">
        <f ca="1">IFERROR(__xludf.DUMMYFUNCTION("""COMPUTED_VALUE"""),"shopmais")</f>
        <v>shopmais</v>
      </c>
      <c r="C452" s="19" t="str">
        <f ca="1">IFERROR(__xludf.DUMMYFUNCTION("""COMPUTED_VALUE"""),"")</f>
        <v/>
      </c>
      <c r="D452" s="19" t="str">
        <f ca="1">IFERROR(__xludf.DUMMYFUNCTION("""COMPUTED_VALUE"""),"")</f>
        <v/>
      </c>
      <c r="E452" s="19" t="str">
        <f ca="1">IFERROR(__xludf.DUMMYFUNCTION("""COMPUTED_VALUE"""),"")</f>
        <v/>
      </c>
      <c r="F452" s="19" t="str">
        <f ca="1">IFERROR(__xludf.DUMMYFUNCTION("""COMPUTED_VALUE"""),"")</f>
        <v/>
      </c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>
      <c r="A453" s="21">
        <f ca="1">IFERROR(__xludf.DUMMYFUNCTION("""COMPUTED_VALUE"""),1514360512)</f>
        <v>1514360512</v>
      </c>
      <c r="B453" s="19" t="str">
        <f ca="1">IFERROR(__xludf.DUMMYFUNCTION("""COMPUTED_VALUE"""),"promosaqui")</f>
        <v>promosaqui</v>
      </c>
      <c r="C453" s="22" t="str">
        <f ca="1">IFERROR(__xludf.DUMMYFUNCTION("""COMPUTED_VALUE"""),"http://instagram.com/descontosdogah")</f>
        <v>http://instagram.com/descontosdogah</v>
      </c>
      <c r="D453" s="19">
        <f ca="1">IFERROR(__xludf.DUMMYFUNCTION("""COMPUTED_VALUE"""),6000)</f>
        <v>6000</v>
      </c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>
      <c r="A454" s="21">
        <f ca="1">IFERROR(__xludf.DUMMYFUNCTION("""COMPUTED_VALUE"""),183053156)</f>
        <v>183053156</v>
      </c>
      <c r="B454" s="19" t="str">
        <f ca="1">IFERROR(__xludf.DUMMYFUNCTION("""COMPUTED_VALUE"""),"prmotech")</f>
        <v>prmotech</v>
      </c>
      <c r="C454" s="22" t="str">
        <f ca="1">IFERROR(__xludf.DUMMYFUNCTION("""COMPUTED_VALUE"""),"https://www.instagram.com/jp_chavesz?igsh=cG1ldnJ1dGk5NW42&amp;utm_source=qr")</f>
        <v>https://www.instagram.com/jp_chavesz?igsh=cG1ldnJ1dGk5NW42&amp;utm_source=qr</v>
      </c>
      <c r="D454" s="19">
        <f ca="1">IFERROR(__xludf.DUMMYFUNCTION("""COMPUTED_VALUE"""),315)</f>
        <v>315</v>
      </c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>
      <c r="A455" s="21">
        <f ca="1">IFERROR(__xludf.DUMMYFUNCTION("""COMPUTED_VALUE"""),164625251)</f>
        <v>164625251</v>
      </c>
      <c r="B455" s="19" t="str">
        <f ca="1">IFERROR(__xludf.DUMMYFUNCTION("""COMPUTED_VALUE"""),"bettoauge")</f>
        <v>bettoauge</v>
      </c>
      <c r="C455" s="19" t="str">
        <f ca="1">IFERROR(__xludf.DUMMYFUNCTION("""COMPUTED_VALUE"""),"")</f>
        <v/>
      </c>
      <c r="D455" s="19" t="str">
        <f ca="1">IFERROR(__xludf.DUMMYFUNCTION("""COMPUTED_VALUE"""),"")</f>
        <v/>
      </c>
      <c r="E455" s="19" t="str">
        <f ca="1">IFERROR(__xludf.DUMMYFUNCTION("""COMPUTED_VALUE"""),"")</f>
        <v/>
      </c>
      <c r="F455" s="19" t="str">
        <f ca="1">IFERROR(__xludf.DUMMYFUNCTION("""COMPUTED_VALUE"""),"")</f>
        <v/>
      </c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>
      <c r="A456" s="21">
        <f ca="1">IFERROR(__xludf.DUMMYFUNCTION("""COMPUTED_VALUE"""),36464957)</f>
        <v>36464957</v>
      </c>
      <c r="B456" s="19" t="str">
        <f ca="1">IFERROR(__xludf.DUMMYFUNCTION("""COMPUTED_VALUE"""),"fernandofhf")</f>
        <v>fernandofhf</v>
      </c>
      <c r="C456" s="19" t="str">
        <f ca="1">IFERROR(__xludf.DUMMYFUNCTION("""COMPUTED_VALUE"""),"")</f>
        <v/>
      </c>
      <c r="D456" s="19" t="str">
        <f ca="1">IFERROR(__xludf.DUMMYFUNCTION("""COMPUTED_VALUE"""),"")</f>
        <v/>
      </c>
      <c r="E456" s="19" t="str">
        <f ca="1">IFERROR(__xludf.DUMMYFUNCTION("""COMPUTED_VALUE"""),"")</f>
        <v/>
      </c>
      <c r="F456" s="19" t="str">
        <f ca="1">IFERROR(__xludf.DUMMYFUNCTION("""COMPUTED_VALUE"""),"")</f>
        <v/>
      </c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>
      <c r="A457" s="21">
        <f ca="1">IFERROR(__xludf.DUMMYFUNCTION("""COMPUTED_VALUE"""),671964575)</f>
        <v>671964575</v>
      </c>
      <c r="B457" s="19" t="str">
        <f ca="1">IFERROR(__xludf.DUMMYFUNCTION("""COMPUTED_VALUE"""),"tstoledo94")</f>
        <v>tstoledo94</v>
      </c>
      <c r="C457" s="22" t="str">
        <f ca="1">IFERROR(__xludf.DUMMYFUNCTION("""COMPUTED_VALUE"""),"instagram.com/deolhonoslinks")</f>
        <v>instagram.com/deolhonoslinks</v>
      </c>
      <c r="D457" s="19">
        <f ca="1">IFERROR(__xludf.DUMMYFUNCTION("""COMPUTED_VALUE"""),3300)</f>
        <v>3300</v>
      </c>
      <c r="E457" s="22" t="str">
        <f ca="1">IFERROR(__xludf.DUMMYFUNCTION("""COMPUTED_VALUE"""),"tiktok.com/deolhonoslinks")</f>
        <v>tiktok.com/deolhonoslinks</v>
      </c>
      <c r="F457" s="19">
        <f ca="1">IFERROR(__xludf.DUMMYFUNCTION("""COMPUTED_VALUE"""),3715)</f>
        <v>3715</v>
      </c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>
      <c r="A458" s="21">
        <f ca="1">IFERROR(__xludf.DUMMYFUNCTION("""COMPUTED_VALUE"""),133759043)</f>
        <v>133759043</v>
      </c>
      <c r="B458" s="19" t="str">
        <f ca="1">IFERROR(__xludf.DUMMYFUNCTION("""COMPUTED_VALUE"""),"mwinformatica")</f>
        <v>mwinformatica</v>
      </c>
      <c r="C458" s="19" t="str">
        <f ca="1">IFERROR(__xludf.DUMMYFUNCTION("""COMPUTED_VALUE"""),"")</f>
        <v/>
      </c>
      <c r="D458" s="19" t="str">
        <f ca="1">IFERROR(__xludf.DUMMYFUNCTION("""COMPUTED_VALUE"""),"")</f>
        <v/>
      </c>
      <c r="E458" s="19" t="str">
        <f ca="1">IFERROR(__xludf.DUMMYFUNCTION("""COMPUTED_VALUE"""),"")</f>
        <v/>
      </c>
      <c r="F458" s="19" t="str">
        <f ca="1">IFERROR(__xludf.DUMMYFUNCTION("""COMPUTED_VALUE"""),"")</f>
        <v/>
      </c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>
      <c r="A459" s="21">
        <f ca="1">IFERROR(__xludf.DUMMYFUNCTION("""COMPUTED_VALUE"""),1983351012)</f>
        <v>1983351012</v>
      </c>
      <c r="B459" s="19" t="str">
        <f ca="1">IFERROR(__xludf.DUMMYFUNCTION("""COMPUTED_VALUE"""),"priscilasilva9703")</f>
        <v>priscilasilva9703</v>
      </c>
      <c r="C459" s="22" t="str">
        <f ca="1">IFERROR(__xludf.DUMMYFUNCTION("""COMPUTED_VALUE"""),"https://www.instagram.com/viciadas.em.descontos?igsh=MTV0eG9kOWhrbThudw%3D%3D&amp;utm_source=qr")</f>
        <v>https://www.instagram.com/viciadas.em.descontos?igsh=MTV0eG9kOWhrbThudw%3D%3D&amp;utm_source=qr</v>
      </c>
      <c r="D459" s="19">
        <f ca="1">IFERROR(__xludf.DUMMYFUNCTION("""COMPUTED_VALUE"""),1230)</f>
        <v>1230</v>
      </c>
      <c r="E459" s="22" t="str">
        <f ca="1">IFERROR(__xludf.DUMMYFUNCTION("""COMPUTED_VALUE"""),"https://www.tiktok.com/@promodecasa.br?_t=ZS-90FHuUSN453&amp;_r=1")</f>
        <v>https://www.tiktok.com/@promodecasa.br?_t=ZS-90FHuUSN453&amp;_r=1</v>
      </c>
      <c r="F459" s="19">
        <f ca="1">IFERROR(__xludf.DUMMYFUNCTION("""COMPUTED_VALUE"""),81500)</f>
        <v>81500</v>
      </c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>
      <c r="A460" s="21">
        <f ca="1">IFERROR(__xludf.DUMMYFUNCTION("""COMPUTED_VALUE"""),79700914)</f>
        <v>79700914</v>
      </c>
      <c r="B460" s="19" t="str">
        <f ca="1">IFERROR(__xludf.DUMMYFUNCTION("""COMPUTED_VALUE"""),"lucapuccileite")</f>
        <v>lucapuccileite</v>
      </c>
      <c r="C460" s="19" t="str">
        <f ca="1">IFERROR(__xludf.DUMMYFUNCTION("""COMPUTED_VALUE"""),"")</f>
        <v/>
      </c>
      <c r="D460" s="19" t="str">
        <f ca="1">IFERROR(__xludf.DUMMYFUNCTION("""COMPUTED_VALUE"""),"")</f>
        <v/>
      </c>
      <c r="E460" s="19" t="str">
        <f ca="1">IFERROR(__xludf.DUMMYFUNCTION("""COMPUTED_VALUE"""),"")</f>
        <v/>
      </c>
      <c r="F460" s="19" t="str">
        <f ca="1">IFERROR(__xludf.DUMMYFUNCTION("""COMPUTED_VALUE"""),"")</f>
        <v/>
      </c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>
      <c r="A461" s="21">
        <f ca="1">IFERROR(__xludf.DUMMYFUNCTION("""COMPUTED_VALUE"""),678978185)</f>
        <v>678978185</v>
      </c>
      <c r="B461" s="19" t="str">
        <f ca="1">IFERROR(__xludf.DUMMYFUNCTION("""COMPUTED_VALUE"""),"isabelavenson1")</f>
        <v>isabelavenson1</v>
      </c>
      <c r="C461" s="19" t="str">
        <f ca="1">IFERROR(__xludf.DUMMYFUNCTION("""COMPUTED_VALUE"""),"")</f>
        <v/>
      </c>
      <c r="D461" s="19" t="str">
        <f ca="1">IFERROR(__xludf.DUMMYFUNCTION("""COMPUTED_VALUE"""),"")</f>
        <v/>
      </c>
      <c r="E461" s="19" t="str">
        <f ca="1">IFERROR(__xludf.DUMMYFUNCTION("""COMPUTED_VALUE"""),"")</f>
        <v/>
      </c>
      <c r="F461" s="19" t="str">
        <f ca="1">IFERROR(__xludf.DUMMYFUNCTION("""COMPUTED_VALUE"""),"")</f>
        <v/>
      </c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>
      <c r="A462" s="21">
        <f ca="1">IFERROR(__xludf.DUMMYFUNCTION("""COMPUTED_VALUE"""),304989643)</f>
        <v>304989643</v>
      </c>
      <c r="B462" s="19" t="str">
        <f ca="1">IFERROR(__xludf.DUMMYFUNCTION("""COMPUTED_VALUE"""),"diegowillian1989")</f>
        <v>diegowillian1989</v>
      </c>
      <c r="C462" s="19" t="str">
        <f ca="1">IFERROR(__xludf.DUMMYFUNCTION("""COMPUTED_VALUE"""),"diegowillian.oficial")</f>
        <v>diegowillian.oficial</v>
      </c>
      <c r="D462" s="19">
        <f ca="1">IFERROR(__xludf.DUMMYFUNCTION("""COMPUTED_VALUE"""),600)</f>
        <v>600</v>
      </c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>
      <c r="A463" s="21">
        <f ca="1">IFERROR(__xludf.DUMMYFUNCTION("""COMPUTED_VALUE"""),132598358)</f>
        <v>132598358</v>
      </c>
      <c r="B463" s="19" t="str">
        <f ca="1">IFERROR(__xludf.DUMMYFUNCTION("""COMPUTED_VALUE"""),"bortolinimariaemilia")</f>
        <v>bortolinimariaemilia</v>
      </c>
      <c r="C463" s="22" t="str">
        <f ca="1">IFERROR(__xludf.DUMMYFUNCTION("""COMPUTED_VALUE"""),"https://www.instagram.com/oapecentoedois?igsh=a3JheHB5ZzA3aW1q&amp;utm_source=qr")</f>
        <v>https://www.instagram.com/oapecentoedois?igsh=a3JheHB5ZzA3aW1q&amp;utm_source=qr</v>
      </c>
      <c r="D463" s="19">
        <f ca="1">IFERROR(__xludf.DUMMYFUNCTION("""COMPUTED_VALUE"""),175000)</f>
        <v>175000</v>
      </c>
      <c r="E463" s="22" t="str">
        <f ca="1">IFERROR(__xludf.DUMMYFUNCTION("""COMPUTED_VALUE"""),"https://www.tiktok.com/@oapecentoedois?_t=ZM-90FIBZQKrCS&amp;_r=1")</f>
        <v>https://www.tiktok.com/@oapecentoedois?_t=ZM-90FIBZQKrCS&amp;_r=1</v>
      </c>
      <c r="F463" s="19">
        <f ca="1">IFERROR(__xludf.DUMMYFUNCTION("""COMPUTED_VALUE"""),25500)</f>
        <v>25500</v>
      </c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>
      <c r="A464" s="21">
        <f ca="1">IFERROR(__xludf.DUMMYFUNCTION("""COMPUTED_VALUE"""),338124984)</f>
        <v>338124984</v>
      </c>
      <c r="B464" s="19" t="str">
        <f ca="1">IFERROR(__xludf.DUMMYFUNCTION("""COMPUTED_VALUE"""),"canaldicasdeouro")</f>
        <v>canaldicasdeouro</v>
      </c>
      <c r="C464" s="22" t="str">
        <f ca="1">IFERROR(__xludf.DUMMYFUNCTION("""COMPUTED_VALUE"""),"https://www.instagram.com/fabicdorneles/")</f>
        <v>https://www.instagram.com/fabicdorneles/</v>
      </c>
      <c r="D464" s="19">
        <f ca="1">IFERROR(__xludf.DUMMYFUNCTION("""COMPUTED_VALUE"""),923)</f>
        <v>923</v>
      </c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>
      <c r="A465" s="21">
        <f ca="1">IFERROR(__xludf.DUMMYFUNCTION("""COMPUTED_VALUE"""),182532195)</f>
        <v>182532195</v>
      </c>
      <c r="B465" s="19" t="str">
        <f ca="1">IFERROR(__xludf.DUMMYFUNCTION("""COMPUTED_VALUE"""),"isabellagiroldovieira")</f>
        <v>isabellagiroldovieira</v>
      </c>
      <c r="C465" s="22" t="str">
        <f ca="1">IFERROR(__xludf.DUMMYFUNCTION("""COMPUTED_VALUE"""),"https://www.instagram.com/agentedasofertas?igsh=MWo3cjJsNHdwdHVjYQ==")</f>
        <v>https://www.instagram.com/agentedasofertas?igsh=MWo3cjJsNHdwdHVjYQ==</v>
      </c>
      <c r="D465" s="19">
        <f ca="1">IFERROR(__xludf.DUMMYFUNCTION("""COMPUTED_VALUE"""),76700)</f>
        <v>76700</v>
      </c>
      <c r="E465" s="22" t="str">
        <f ca="1">IFERROR(__xludf.DUMMYFUNCTION("""COMPUTED_VALUE"""),"https://www.tiktok.com/@agentedasofertas?_t=ZM-8ydVMkLT2kn&amp;_r=1")</f>
        <v>https://www.tiktok.com/@agentedasofertas?_t=ZM-8ydVMkLT2kn&amp;_r=1</v>
      </c>
      <c r="F465" s="19">
        <f ca="1">IFERROR(__xludf.DUMMYFUNCTION("""COMPUTED_VALUE"""),1863)</f>
        <v>1863</v>
      </c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>
      <c r="A466" s="21">
        <f ca="1">IFERROR(__xludf.DUMMYFUNCTION("""COMPUTED_VALUE"""),417165691)</f>
        <v>417165691</v>
      </c>
      <c r="B466" s="19" t="str">
        <f ca="1">IFERROR(__xludf.DUMMYFUNCTION("""COMPUTED_VALUE"""),"samarafontess122")</f>
        <v>samarafontess122</v>
      </c>
      <c r="C466" s="22" t="str">
        <f ca="1">IFERROR(__xludf.DUMMYFUNCTION("""COMPUTED_VALUE"""),"https://www.instagram.com/achadosdasamm?igsh=MTQxcGdkMTc1YW80aQ%3D%3D&amp;utm_source=qr")</f>
        <v>https://www.instagram.com/achadosdasamm?igsh=MTQxcGdkMTc1YW80aQ%3D%3D&amp;utm_source=qr</v>
      </c>
      <c r="D466" s="19">
        <f ca="1">IFERROR(__xludf.DUMMYFUNCTION("""COMPUTED_VALUE"""),4961)</f>
        <v>4961</v>
      </c>
      <c r="E466" s="22" t="str">
        <f ca="1">IFERROR(__xludf.DUMMYFUNCTION("""COMPUTED_VALUE"""),"https://www.tiktok.com/@achadosdasamm?_t=ZM-8ygs31DF8TQ&amp;_r=1")</f>
        <v>https://www.tiktok.com/@achadosdasamm?_t=ZM-8ygs31DF8TQ&amp;_r=1</v>
      </c>
      <c r="F466" s="19">
        <f ca="1">IFERROR(__xludf.DUMMYFUNCTION("""COMPUTED_VALUE"""),3855)</f>
        <v>3855</v>
      </c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>
      <c r="A467" s="21">
        <f ca="1">IFERROR(__xludf.DUMMYFUNCTION("""COMPUTED_VALUE"""),337920322)</f>
        <v>337920322</v>
      </c>
      <c r="B467" s="19" t="str">
        <f ca="1">IFERROR(__xludf.DUMMYFUNCTION("""COMPUTED_VALUE"""),"raphaela.bessani")</f>
        <v>raphaela.bessani</v>
      </c>
      <c r="C467" s="19" t="str">
        <f ca="1">IFERROR(__xludf.DUMMYFUNCTION("""COMPUTED_VALUE"""),"")</f>
        <v/>
      </c>
      <c r="D467" s="19" t="str">
        <f ca="1">IFERROR(__xludf.DUMMYFUNCTION("""COMPUTED_VALUE"""),"")</f>
        <v/>
      </c>
      <c r="E467" s="19" t="str">
        <f ca="1">IFERROR(__xludf.DUMMYFUNCTION("""COMPUTED_VALUE"""),"")</f>
        <v/>
      </c>
      <c r="F467" s="19" t="str">
        <f ca="1">IFERROR(__xludf.DUMMYFUNCTION("""COMPUTED_VALUE"""),"")</f>
        <v/>
      </c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>
      <c r="A468" s="21">
        <f ca="1">IFERROR(__xludf.DUMMYFUNCTION("""COMPUTED_VALUE"""),175516255)</f>
        <v>175516255</v>
      </c>
      <c r="B468" s="19" t="str">
        <f ca="1">IFERROR(__xludf.DUMMYFUNCTION("""COMPUTED_VALUE"""),"angela6bernardes")</f>
        <v>angela6bernardes</v>
      </c>
      <c r="C468" s="22" t="str">
        <f ca="1">IFERROR(__xludf.DUMMYFUNCTION("""COMPUTED_VALUE"""),"https://www.instagram.com/jubabyofertas/")</f>
        <v>https://www.instagram.com/jubabyofertas/</v>
      </c>
      <c r="D468" s="19">
        <f ca="1">IFERROR(__xludf.DUMMYFUNCTION("""COMPUTED_VALUE"""),21000)</f>
        <v>21000</v>
      </c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>
      <c r="A469" s="21">
        <f ca="1">IFERROR(__xludf.DUMMYFUNCTION("""COMPUTED_VALUE"""),163121145)</f>
        <v>163121145</v>
      </c>
      <c r="B469" s="19" t="str">
        <f ca="1">IFERROR(__xludf.DUMMYFUNCTION("""COMPUTED_VALUE"""),"hellengomes")</f>
        <v>hellengomes</v>
      </c>
      <c r="C469" s="22" t="str">
        <f ca="1">IFERROR(__xludf.DUMMYFUNCTION("""COMPUTED_VALUE"""),"https://www.instagram.com/hellenzinhagomees?igsh=NjBmcjBuZ21uNHh4")</f>
        <v>https://www.instagram.com/hellenzinhagomees?igsh=NjBmcjBuZ21uNHh4</v>
      </c>
      <c r="D469" s="19">
        <f ca="1">IFERROR(__xludf.DUMMYFUNCTION("""COMPUTED_VALUE"""),614)</f>
        <v>614</v>
      </c>
      <c r="E469" s="22" t="str">
        <f ca="1">IFERROR(__xludf.DUMMYFUNCTION("""COMPUTED_VALUE"""),"https://www.tiktok.com/@dicasdegarotaofc?_t=ZM-8y4pHI6Izf6&amp;_r=1")</f>
        <v>https://www.tiktok.com/@dicasdegarotaofc?_t=ZM-8y4pHI6Izf6&amp;_r=1</v>
      </c>
      <c r="F469" s="19">
        <f ca="1">IFERROR(__xludf.DUMMYFUNCTION("""COMPUTED_VALUE"""),609)</f>
        <v>609</v>
      </c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>
      <c r="A470" s="21">
        <f ca="1">IFERROR(__xludf.DUMMYFUNCTION("""COMPUTED_VALUE"""),2431021552)</f>
        <v>2431021552</v>
      </c>
      <c r="B470" s="19" t="str">
        <f ca="1">IFERROR(__xludf.DUMMYFUNCTION("""COMPUTED_VALUE"""),"indicacupons")</f>
        <v>indicacupons</v>
      </c>
      <c r="C470" s="22" t="str">
        <f ca="1">IFERROR(__xludf.DUMMYFUNCTION("""COMPUTED_VALUE"""),"https://s.shopee.com.br/z5oydPrs")</f>
        <v>https://s.shopee.com.br/z5oydPrs</v>
      </c>
      <c r="D470" s="19">
        <f ca="1">IFERROR(__xludf.DUMMYFUNCTION("""COMPUTED_VALUE"""),2393)</f>
        <v>2393</v>
      </c>
      <c r="E470" s="22" t="str">
        <f ca="1">IFERROR(__xludf.DUMMYFUNCTION("""COMPUTED_VALUE"""),"https://www.tiktok.com/@indicacupons?_t=ZM-8xhQK0JEH4y&amp;_r=1")</f>
        <v>https://www.tiktok.com/@indicacupons?_t=ZM-8xhQK0JEH4y&amp;_r=1</v>
      </c>
      <c r="F470" s="19">
        <f ca="1">IFERROR(__xludf.DUMMYFUNCTION("""COMPUTED_VALUE"""),193)</f>
        <v>193</v>
      </c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>
      <c r="A471" s="21">
        <f ca="1">IFERROR(__xludf.DUMMYFUNCTION("""COMPUTED_VALUE"""),189242453)</f>
        <v>189242453</v>
      </c>
      <c r="B471" s="19" t="str">
        <f ca="1">IFERROR(__xludf.DUMMYFUNCTION("""COMPUTED_VALUE"""),"ched2796767")</f>
        <v>ched2796767</v>
      </c>
      <c r="C471" s="19" t="str">
        <f ca="1">IFERROR(__xludf.DUMMYFUNCTION("""COMPUTED_VALUE"""),"")</f>
        <v/>
      </c>
      <c r="D471" s="19" t="str">
        <f ca="1">IFERROR(__xludf.DUMMYFUNCTION("""COMPUTED_VALUE"""),"")</f>
        <v/>
      </c>
      <c r="E471" s="19" t="str">
        <f ca="1">IFERROR(__xludf.DUMMYFUNCTION("""COMPUTED_VALUE"""),"")</f>
        <v/>
      </c>
      <c r="F471" s="19" t="str">
        <f ca="1">IFERROR(__xludf.DUMMYFUNCTION("""COMPUTED_VALUE"""),"")</f>
        <v/>
      </c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>
      <c r="A472" s="21">
        <f ca="1">IFERROR(__xludf.DUMMYFUNCTION("""COMPUTED_VALUE"""),46437782)</f>
        <v>46437782</v>
      </c>
      <c r="B472" s="19" t="str">
        <f ca="1">IFERROR(__xludf.DUMMYFUNCTION("""COMPUTED_VALUE"""),"maykegarbo")</f>
        <v>maykegarbo</v>
      </c>
      <c r="C472" s="19" t="str">
        <f ca="1">IFERROR(__xludf.DUMMYFUNCTION("""COMPUTED_VALUE"""),"https://instagram.com/mayke.escolhacerta (obs: o meu foco é o youtube, quase não uso instagram)")</f>
        <v>https://instagram.com/mayke.escolhacerta (obs: o meu foco é o youtube, quase não uso instagram)</v>
      </c>
      <c r="D472" s="19">
        <f ca="1">IFERROR(__xludf.DUMMYFUNCTION("""COMPUTED_VALUE"""),1659)</f>
        <v>1659</v>
      </c>
      <c r="E472" s="22" t="str">
        <f ca="1">IFERROR(__xludf.DUMMYFUNCTION("""COMPUTED_VALUE"""),"https://www.tiktok.com/@eaiqualcomprar.br")</f>
        <v>https://www.tiktok.com/@eaiqualcomprar.br</v>
      </c>
      <c r="F472" s="19">
        <f ca="1">IFERROR(__xludf.DUMMYFUNCTION("""COMPUTED_VALUE"""),32900)</f>
        <v>32900</v>
      </c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>
      <c r="A473" s="21">
        <f ca="1">IFERROR(__xludf.DUMMYFUNCTION("""COMPUTED_VALUE"""),54274554)</f>
        <v>54274554</v>
      </c>
      <c r="B473" s="19" t="str">
        <f ca="1">IFERROR(__xludf.DUMMYFUNCTION("""COMPUTED_VALUE"""),"viniciusgodinho1989")</f>
        <v>viniciusgodinho1989</v>
      </c>
      <c r="C473" s="19" t="str">
        <f ca="1">IFERROR(__xludf.DUMMYFUNCTION("""COMPUTED_VALUE"""),"")</f>
        <v/>
      </c>
      <c r="D473" s="19" t="str">
        <f ca="1">IFERROR(__xludf.DUMMYFUNCTION("""COMPUTED_VALUE"""),"")</f>
        <v/>
      </c>
      <c r="E473" s="19" t="str">
        <f ca="1">IFERROR(__xludf.DUMMYFUNCTION("""COMPUTED_VALUE"""),"")</f>
        <v/>
      </c>
      <c r="F473" s="19" t="str">
        <f ca="1">IFERROR(__xludf.DUMMYFUNCTION("""COMPUTED_VALUE"""),"")</f>
        <v/>
      </c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>
      <c r="A474" s="21">
        <f ca="1">IFERROR(__xludf.DUMMYFUNCTION("""COMPUTED_VALUE"""),2657466)</f>
        <v>2657466</v>
      </c>
      <c r="B474" s="19" t="str">
        <f ca="1">IFERROR(__xludf.DUMMYFUNCTION("""COMPUTED_VALUE"""),"misterchina")</f>
        <v>misterchina</v>
      </c>
      <c r="C474" s="19" t="str">
        <f ca="1">IFERROR(__xludf.DUMMYFUNCTION("""COMPUTED_VALUE"""),"")</f>
        <v/>
      </c>
      <c r="D474" s="19" t="str">
        <f ca="1">IFERROR(__xludf.DUMMYFUNCTION("""COMPUTED_VALUE"""),"")</f>
        <v/>
      </c>
      <c r="E474" s="19" t="str">
        <f ca="1">IFERROR(__xludf.DUMMYFUNCTION("""COMPUTED_VALUE"""),"")</f>
        <v/>
      </c>
      <c r="F474" s="19" t="str">
        <f ca="1">IFERROR(__xludf.DUMMYFUNCTION("""COMPUTED_VALUE"""),"")</f>
        <v/>
      </c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>
      <c r="A475" s="21">
        <f ca="1">IFERROR(__xludf.DUMMYFUNCTION("""COMPUTED_VALUE"""),2716163380)</f>
        <v>2716163380</v>
      </c>
      <c r="B475" s="19" t="str">
        <f ca="1">IFERROR(__xludf.DUMMYFUNCTION("""COMPUTED_VALUE"""),"dogpromo")</f>
        <v>dogpromo</v>
      </c>
      <c r="C475" s="22" t="str">
        <f ca="1">IFERROR(__xludf.DUMMYFUNCTION("""COMPUTED_VALUE"""),"https://www.instagram.com/doguinhopromo?igsh=eWVuaWNmbzZ4enlu")</f>
        <v>https://www.instagram.com/doguinhopromo?igsh=eWVuaWNmbzZ4enlu</v>
      </c>
      <c r="D475" s="19">
        <f ca="1">IFERROR(__xludf.DUMMYFUNCTION("""COMPUTED_VALUE"""),2000)</f>
        <v>2000</v>
      </c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hyperlinks>
    <hyperlink ref="C3" r:id="rId1" display="https://www.instagram.com/eusoubarone?igsh=cWVvOXQydzdseW15" xr:uid="{00000000-0004-0000-0200-000000000000}"/>
    <hyperlink ref="C4" r:id="rId2" display="https://www.instagram.com/heroidapromo/" xr:uid="{00000000-0004-0000-0200-000001000000}"/>
    <hyperlink ref="C5" r:id="rId3" display="https://x.com/xetdaspromocoes" xr:uid="{00000000-0004-0000-0200-000002000000}"/>
    <hyperlink ref="C6" r:id="rId4" display="https://www.instagram.com/jeersu" xr:uid="{00000000-0004-0000-0200-000003000000}"/>
    <hyperlink ref="E6" r:id="rId5" display="https://www.tiktok.com/@jersu" xr:uid="{00000000-0004-0000-0200-000004000000}"/>
    <hyperlink ref="C8" r:id="rId6" display="https://www.instagram.com/gesieltaveira/" xr:uid="{00000000-0004-0000-0200-000005000000}"/>
    <hyperlink ref="E8" r:id="rId7" display="https://www.tiktok.com/@gesieltaveira" xr:uid="{00000000-0004-0000-0200-000006000000}"/>
    <hyperlink ref="C10" r:id="rId8" display="https://www.instagram.com/joao_psx/" xr:uid="{00000000-0004-0000-0200-000007000000}"/>
    <hyperlink ref="E10" r:id="rId9" display="https://www.tiktok.com/@joaopsx" xr:uid="{00000000-0004-0000-0200-000008000000}"/>
    <hyperlink ref="C11" r:id="rId10" display="https://www.instagram.com/vrltecnologia/" xr:uid="{00000000-0004-0000-0200-000009000000}"/>
    <hyperlink ref="E11" r:id="rId11" display="https://www.tiktok.com/@vrltecnologia" xr:uid="{00000000-0004-0000-0200-00000A000000}"/>
    <hyperlink ref="C12" r:id="rId12" display="http://www.instagram.com/thautec" xr:uid="{00000000-0004-0000-0200-00000B000000}"/>
    <hyperlink ref="E12" r:id="rId13" display="http://www.tiktok.com/@thautec" xr:uid="{00000000-0004-0000-0200-00000C000000}"/>
    <hyperlink ref="C14" r:id="rId14" display="http://instagram.com/grupotabugado" xr:uid="{00000000-0004-0000-0200-00000D000000}"/>
    <hyperlink ref="C15" r:id="rId15" display="https://www.instagram.com/lipemalestar/" xr:uid="{00000000-0004-0000-0200-00000E000000}"/>
    <hyperlink ref="E15" r:id="rId16" display="https://www.tiktok.com/@lipemalestar" xr:uid="{00000000-0004-0000-0200-00000F000000}"/>
    <hyperlink ref="C16" r:id="rId17" display="http://www.instagram.com/canalrodrigomoreira" xr:uid="{00000000-0004-0000-0200-000010000000}"/>
    <hyperlink ref="E16" r:id="rId18" display="http://www.tiktok.com/@canalrodrigomoreira" xr:uid="{00000000-0004-0000-0200-000011000000}"/>
    <hyperlink ref="C17" r:id="rId19" display="https://www.instagram.com/rodrigocoelhoc/" xr:uid="{00000000-0004-0000-0200-000012000000}"/>
    <hyperlink ref="E17" r:id="rId20" display="https://www.tiktok.com/@rodrigocoelhoc" xr:uid="{00000000-0004-0000-0200-000013000000}"/>
    <hyperlink ref="C18" r:id="rId21" display="http://instagram.com/especialistaemti" xr:uid="{00000000-0004-0000-0200-000014000000}"/>
    <hyperlink ref="E18" r:id="rId22" display="http://tiktok.com/especialistaemti" xr:uid="{00000000-0004-0000-0200-000015000000}"/>
    <hyperlink ref="C19" r:id="rId23" display="http://instagram.com/promocaozinha" xr:uid="{00000000-0004-0000-0200-000016000000}"/>
    <hyperlink ref="E19" r:id="rId24" display="http://tiktok.com/@promocaozinha" xr:uid="{00000000-0004-0000-0200-000017000000}"/>
    <hyperlink ref="C20" r:id="rId25" display="http://instagram.com/buscopobres" xr:uid="{00000000-0004-0000-0200-000018000000}"/>
    <hyperlink ref="E20" r:id="rId26" display="http://tiktok.com/buscopobres" xr:uid="{00000000-0004-0000-0200-000019000000}"/>
    <hyperlink ref="C21" r:id="rId27" display="https://www.instagram.com/promos4m/" xr:uid="{00000000-0004-0000-0200-00001A000000}"/>
    <hyperlink ref="E21" r:id="rId28" display="https://www.tiktok.com/@promos4m?lang=pt-BR" xr:uid="{00000000-0004-0000-0200-00001B000000}"/>
    <hyperlink ref="C22" r:id="rId29" display="https://www.instagram.com/santostecpromo/" xr:uid="{00000000-0004-0000-0200-00001C000000}"/>
    <hyperlink ref="E22" r:id="rId30" display="https://www.tiktok.com/@santostecpromo" xr:uid="{00000000-0004-0000-0200-00001D000000}"/>
    <hyperlink ref="C23" r:id="rId31" display="https://www.instagram.com/jptechgames/" xr:uid="{00000000-0004-0000-0200-00001E000000}"/>
    <hyperlink ref="E23" r:id="rId32" display="https://www.tiktok.com/@jptechgames_" xr:uid="{00000000-0004-0000-0200-00001F000000}"/>
    <hyperlink ref="C24" r:id="rId33" display="https://www.instagram.com/pcdofafa?igsh=MW15cTUyaDV2a3QwaQ==" xr:uid="{00000000-0004-0000-0200-000020000000}"/>
    <hyperlink ref="E24" r:id="rId34" display="https://www.tiktok.com/@pcdofafa?_t=ZM-8yzfN0wUGqz&amp;_r=1" xr:uid="{00000000-0004-0000-0200-000021000000}"/>
    <hyperlink ref="C25" r:id="rId35" display="http://instagram.com/urubupromo" xr:uid="{00000000-0004-0000-0200-000022000000}"/>
    <hyperlink ref="C26" r:id="rId36" display="https://www.instagram.com/thalissontttech/" xr:uid="{00000000-0004-0000-0200-000023000000}"/>
    <hyperlink ref="E26" r:id="rId37" display="https://www.tiktok.com/@thalisson_tttech" xr:uid="{00000000-0004-0000-0200-000024000000}"/>
    <hyperlink ref="C27" r:id="rId38" display="https://www.instagram.com/peguepromo/" xr:uid="{00000000-0004-0000-0200-000025000000}"/>
    <hyperlink ref="C28" r:id="rId39" display="https://www.instagram.com/inovaleo/?hl=pt-br" xr:uid="{00000000-0004-0000-0200-000026000000}"/>
    <hyperlink ref="E28" r:id="rId40" display="https://www.tiktok.com/@inovaleo?_t=8ce33tztExC&amp;_r=1" xr:uid="{00000000-0004-0000-0200-000027000000}"/>
    <hyperlink ref="C29" r:id="rId41" display="https://www.instagram.com/lobaopromo?igsh=MWRsZWlyNWI4bmU1aA==" xr:uid="{00000000-0004-0000-0200-000028000000}"/>
    <hyperlink ref="E29" r:id="rId42" display="https://x.com/lobaopromo?s=21" xr:uid="{00000000-0004-0000-0200-000029000000}"/>
    <hyperlink ref="C30" r:id="rId43" display="https://www.instagram.com/qualnotebook/" xr:uid="{00000000-0004-0000-0200-00002A000000}"/>
    <hyperlink ref="E30" r:id="rId44" display="https://www.tiktok.com/@qualnotebook/" xr:uid="{00000000-0004-0000-0200-00002B000000}"/>
    <hyperlink ref="C31" r:id="rId45" display="https://www.instagram.com/pegar.promo" xr:uid="{00000000-0004-0000-0200-00002C000000}"/>
    <hyperlink ref="C32" r:id="rId46" display="https://www.instagram.com/danielreen_" xr:uid="{00000000-0004-0000-0200-00002D000000}"/>
    <hyperlink ref="E32" r:id="rId47" display="https://www.tiktok.com/@danielreen_" xr:uid="{00000000-0004-0000-0200-00002E000000}"/>
    <hyperlink ref="C33" r:id="rId48" display="http://www.instagran.com/mastertechjr" xr:uid="{00000000-0004-0000-0200-00002F000000}"/>
    <hyperlink ref="C34" r:id="rId49" display="https://www.instagram.com/promotopoficial/?hl=pt-br" xr:uid="{00000000-0004-0000-0200-000030000000}"/>
    <hyperlink ref="E34" r:id="rId50" display="https://www.tiktok.com/@canalpromotop" xr:uid="{00000000-0004-0000-0200-000031000000}"/>
    <hyperlink ref="C35" r:id="rId51" display="https://www.instagram.com/jeffrecomenda?igsh=czA1bWVubm16M205" xr:uid="{00000000-0004-0000-0200-000032000000}"/>
    <hyperlink ref="E35" r:id="rId52" display="https://www.tiktok.com/@jeffrecomenda?_t=ZM-8yqmv34HBgM&amp;_r=1" xr:uid="{00000000-0004-0000-0200-000033000000}"/>
    <hyperlink ref="C36" r:id="rId53" display="http://instagram.com/promoimperdivel_" xr:uid="{00000000-0004-0000-0200-000034000000}"/>
    <hyperlink ref="C37" r:id="rId54" display="https://www.instagram.com/lucas.ishii/" xr:uid="{00000000-0004-0000-0200-000035000000}"/>
    <hyperlink ref="E37" r:id="rId55" display="https://www.tiktok.com/@lucas_ishii?lang=pt-BR" xr:uid="{00000000-0004-0000-0200-000036000000}"/>
    <hyperlink ref="C39" r:id="rId56" display="https://www.instagram.com/novosprodutos" xr:uid="{00000000-0004-0000-0200-000037000000}"/>
    <hyperlink ref="C40" r:id="rId57" display="https://www.instagram.com/so_promocoesdodia?igsh=MTBieDVweDN3eXN5eg==" xr:uid="{00000000-0004-0000-0200-000038000000}"/>
    <hyperlink ref="C41" r:id="rId58" display="https://www.instagram.com/clubedopresidente/" xr:uid="{00000000-0004-0000-0200-000039000000}"/>
    <hyperlink ref="E41" r:id="rId59" display="https://www.tiktok.com/@clubedopresidente?_t=ZM-8xfxfiIojpd&amp;_r=1" xr:uid="{00000000-0004-0000-0200-00003A000000}"/>
    <hyperlink ref="C42" r:id="rId60" display="https://www.instagram.com/canaltechbr/profilecard/?igsh=OG1uOTEwa2s5NWd3" xr:uid="{00000000-0004-0000-0200-00003B000000}"/>
    <hyperlink ref="E42" r:id="rId61" display="https://www.tiktok.com/@techbrcanal?_t=ZM-8yW6ZmJSSVs&amp;_r=1" xr:uid="{00000000-0004-0000-0200-00003C000000}"/>
    <hyperlink ref="C43" r:id="rId62" display="https://www.instagram.com/tem_promo" xr:uid="{00000000-0004-0000-0200-00003D000000}"/>
    <hyperlink ref="E43" r:id="rId63" display="https://www.tiktok.com/@tem.promo" xr:uid="{00000000-0004-0000-0200-00003E000000}"/>
    <hyperlink ref="C45" r:id="rId64" display="https://www.instagram.com/descontoemgames" xr:uid="{00000000-0004-0000-0200-00003F000000}"/>
    <hyperlink ref="E45" r:id="rId65" display="https://www.tiktok.com/@republicadg" xr:uid="{00000000-0004-0000-0200-000040000000}"/>
    <hyperlink ref="C46" r:id="rId66" display="https://x.com/ofcpromo" xr:uid="{00000000-0004-0000-0200-000041000000}"/>
    <hyperlink ref="E46" r:id="rId67" display="https://x.com/ofctenis" xr:uid="{00000000-0004-0000-0200-000042000000}"/>
    <hyperlink ref="C47" r:id="rId68" display="https://instagram.com/lapromotion_" xr:uid="{00000000-0004-0000-0200-000043000000}"/>
    <hyperlink ref="C48" r:id="rId69" display="https://www.instagram.com/clube.kotas/" xr:uid="{00000000-0004-0000-0200-000044000000}"/>
    <hyperlink ref="E48" r:id="rId70" display="https://www.tiktok.com/@clube.kotas" xr:uid="{00000000-0004-0000-0200-000045000000}"/>
    <hyperlink ref="E49" r:id="rId71" display="https://www.tiktok.com/@promotecgames" xr:uid="{00000000-0004-0000-0200-000046000000}"/>
    <hyperlink ref="C50" r:id="rId72" display="https://www.instagram.com/preguicaofertas/" xr:uid="{00000000-0004-0000-0200-000047000000}"/>
    <hyperlink ref="E50" r:id="rId73" display="https://x.com/preguicaofertas" xr:uid="{00000000-0004-0000-0200-000048000000}"/>
    <hyperlink ref="C51" r:id="rId74" display="https://www.instagram.com/garimpei.ofertas/" xr:uid="{00000000-0004-0000-0200-000049000000}"/>
    <hyperlink ref="E51" r:id="rId75" display="https://www.tiktok.com/@garimpeiofertasoficial?_t=ZM-8xgGGnDzwt3&amp;_r=" xr:uid="{00000000-0004-0000-0200-00004A000000}"/>
    <hyperlink ref="C52" r:id="rId76" display="http://instagram.com/matheuskise/" xr:uid="{00000000-0004-0000-0200-00004B000000}"/>
    <hyperlink ref="C53" r:id="rId77" display="https://www.instagram.com/tabaratasso?igsh=MWdmYWhhcnphZmZ5bg%3D%3D&amp;utm_source=qr" xr:uid="{00000000-0004-0000-0200-00004C000000}"/>
    <hyperlink ref="E53" r:id="rId78" display="https://www.tiktok.com/@tabaratasso?_t=ZM-8xhtvV1QOAQ&amp;_r=1" xr:uid="{00000000-0004-0000-0200-00004D000000}"/>
    <hyperlink ref="C54" r:id="rId79" display="https://www.instagram.com/fraguas84/" xr:uid="{00000000-0004-0000-0200-00004E000000}"/>
    <hyperlink ref="C55" r:id="rId80" display="https://www.instagram.com/tech_variedadesoficial" xr:uid="{00000000-0004-0000-0200-00004F000000}"/>
    <hyperlink ref="E55" r:id="rId81" display="https://www.tiktok.com/@tech_variedadesoficial" xr:uid="{00000000-0004-0000-0200-000050000000}"/>
    <hyperlink ref="C56" r:id="rId82" display="https://www.instagram.com/samuelf3lipe" xr:uid="{00000000-0004-0000-0200-000051000000}"/>
    <hyperlink ref="E56" r:id="rId83" display="https://www.tiktok.com/@samuelf3lipe_" xr:uid="{00000000-0004-0000-0200-000052000000}"/>
    <hyperlink ref="C58" r:id="rId84" display="https://www.instagram.com/tjgamingbr" xr:uid="{00000000-0004-0000-0200-000053000000}"/>
    <hyperlink ref="E58" r:id="rId85" display="https://www.tiktok.com/@tjgamingbr_?_t=ZM-8z4IhQdgP4A&amp;_r=1" xr:uid="{00000000-0004-0000-0200-000054000000}"/>
    <hyperlink ref="C59" r:id="rId86" display="https://www.instagram.com/achados.em.promo" xr:uid="{00000000-0004-0000-0200-000055000000}"/>
    <hyperlink ref="C60" r:id="rId87" display="https://instagram.com/garimpeirosoficial" xr:uid="{00000000-0004-0000-0200-000056000000}"/>
    <hyperlink ref="C61" r:id="rId88" display="https://www.instagram.com/bizudaspromocoes/" xr:uid="{00000000-0004-0000-0200-000057000000}"/>
    <hyperlink ref="C62" r:id="rId89" display="https://www.instagram.com/sddescontos?igsh=ZnRycXduNWl4c2Fp" xr:uid="{00000000-0004-0000-0200-000058000000}"/>
    <hyperlink ref="E62" r:id="rId90" display="https://www.tiktok.com/@sddescontos?_t=ZM-8xhjbOzsii0&amp;_r=1" xr:uid="{00000000-0004-0000-0200-000059000000}"/>
    <hyperlink ref="C63" r:id="rId91" display="https://www.instagram.com/geek.loko" xr:uid="{00000000-0004-0000-0200-00005A000000}"/>
    <hyperlink ref="E63" r:id="rId92" display="https://www.tiktok.com/@geek.loko" xr:uid="{00000000-0004-0000-0200-00005B000000}"/>
    <hyperlink ref="C64" r:id="rId93" display="https://www.instagram.com/pinceiofertas?igsh=MTNtemlyYmF5a2dwcQ==" xr:uid="{00000000-0004-0000-0200-00005C000000}"/>
    <hyperlink ref="E64" r:id="rId94" display="https://www.tiktok.com/@pinceiofertas?_t=ZM-8ysPAlXUzzC&amp;_r=1" xr:uid="{00000000-0004-0000-0200-00005D000000}"/>
    <hyperlink ref="C65" r:id="rId95" display="https://www.instagram.com/ofertasgamer_oficial/" xr:uid="{00000000-0004-0000-0200-00005E000000}"/>
    <hyperlink ref="E65" r:id="rId96" display="https://www.tiktok.com/@ofertasgamer_oficial" xr:uid="{00000000-0004-0000-0200-00005F000000}"/>
    <hyperlink ref="C67" r:id="rId97" display="https://www.instagram.com/guerradealsfit" xr:uid="{00000000-0004-0000-0200-000060000000}"/>
    <hyperlink ref="C69" r:id="rId98" display="https://www.instagram.com/promobyteoficial" xr:uid="{00000000-0004-0000-0200-000061000000}"/>
    <hyperlink ref="C70" r:id="rId99" display="http://instagram.com/lucaspeperaio" xr:uid="{00000000-0004-0000-0200-000062000000}"/>
    <hyperlink ref="C71" r:id="rId100" display="https://www.instagram.com/bugueycomprey/" xr:uid="{00000000-0004-0000-0200-000063000000}"/>
    <hyperlink ref="E71" r:id="rId101" display="https://www.tiktok.com/@uduluiz" xr:uid="{00000000-0004-0000-0200-000064000000}"/>
    <hyperlink ref="C72" r:id="rId102" display="https://www.instagram.com/babypromokids/" xr:uid="{00000000-0004-0000-0200-000065000000}"/>
    <hyperlink ref="E72" r:id="rId103" display="https://www.tiktok.com/@babypromokids" xr:uid="{00000000-0004-0000-0200-000066000000}"/>
    <hyperlink ref="C73" r:id="rId104" display="https://www.instagram.com/ninjaofertas_/" xr:uid="{00000000-0004-0000-0200-000067000000}"/>
    <hyperlink ref="C74" r:id="rId105" display="https://www.instagram.com/tosemkit/" xr:uid="{00000000-0004-0000-0200-000068000000}"/>
    <hyperlink ref="E74" r:id="rId106" display="https://www.tiktok.com/@tosemkit" xr:uid="{00000000-0004-0000-0200-000069000000}"/>
    <hyperlink ref="C75" r:id="rId107" display="https://www.instagram.com/promohub.br/" xr:uid="{00000000-0004-0000-0200-00006A000000}"/>
    <hyperlink ref="C76" r:id="rId108" display="https://www.instagram.com/rodrigoapolloni/" xr:uid="{00000000-0004-0000-0200-00006B000000}"/>
    <hyperlink ref="C77" r:id="rId109" display="http://promodica.com.br/" xr:uid="{00000000-0004-0000-0200-00006C000000}"/>
    <hyperlink ref="E77" r:id="rId110" display="http://promodica.com.br/" xr:uid="{00000000-0004-0000-0200-00006D000000}"/>
    <hyperlink ref="C79" r:id="rId111" display="https://www.instagram.com/_ofertasgeek/" xr:uid="{00000000-0004-0000-0200-00006E000000}"/>
    <hyperlink ref="C80" r:id="rId112" display="https://www.instagram.com/reduzaoficial/" xr:uid="{00000000-0004-0000-0200-00006F000000}"/>
    <hyperlink ref="C82" r:id="rId113" display="https://www.instagram.com/tuudonapromo" xr:uid="{00000000-0004-0000-0200-000070000000}"/>
    <hyperlink ref="E82" r:id="rId114" display="https://www.tiktok.com/@tudonapromo_" xr:uid="{00000000-0004-0000-0200-000071000000}"/>
    <hyperlink ref="C83" r:id="rId115" display="http://www.instagram.com/updesconta" xr:uid="{00000000-0004-0000-0200-000072000000}"/>
    <hyperlink ref="C84" r:id="rId116" display="https://www.instagram.com/gugaaprova_/" xr:uid="{00000000-0004-0000-0200-000073000000}"/>
    <hyperlink ref="E84" r:id="rId117" display="https://www.tiktok.com/@gugaetharcyla" xr:uid="{00000000-0004-0000-0200-000074000000}"/>
    <hyperlink ref="C86" r:id="rId118" display="https://www.instagram.com/adrenaline_oficial/" xr:uid="{00000000-0004-0000-0200-000075000000}"/>
    <hyperlink ref="E86" r:id="rId119" display="https://www.tiktok.com/@adrenalinecombr" xr:uid="{00000000-0004-0000-0200-000076000000}"/>
    <hyperlink ref="C87" r:id="rId120" display="https://www.instagram.com/paulodatecnologia/" xr:uid="{00000000-0004-0000-0200-000077000000}"/>
    <hyperlink ref="E87" r:id="rId121" display="https://www.tiktok.com/@paulodatecnologia" xr:uid="{00000000-0004-0000-0200-000078000000}"/>
    <hyperlink ref="C88" r:id="rId122" display="https://www.instagram.com/manualdecompra/" xr:uid="{00000000-0004-0000-0200-000079000000}"/>
    <hyperlink ref="E88" r:id="rId123" display="https://www.tiktok.com/@manual.de.compra" xr:uid="{00000000-0004-0000-0200-00007A000000}"/>
    <hyperlink ref="C89" r:id="rId124" display="https://www.instagram.com/felps?igsh=NGh1NnhxeXF3ZjBi&amp;utm_source=qr" xr:uid="{00000000-0004-0000-0200-00007B000000}"/>
    <hyperlink ref="E89" r:id="rId125" display="https://www.tiktok.com/@felpstech?_t=ZM-8ydRaxH76b0&amp;_r=1" xr:uid="{00000000-0004-0000-0200-00007C000000}"/>
    <hyperlink ref="C90" r:id="rId126" display="https://www.instagram.com/alupaofertas" xr:uid="{00000000-0004-0000-0200-00007D000000}"/>
    <hyperlink ref="C91" r:id="rId127" display="https://www.instagram.com/superconsumer_?igsh=MWVhZGExbjc5dGN0MQ%3D%3D&amp;utm_source=qr" xr:uid="{00000000-0004-0000-0200-00007E000000}"/>
    <hyperlink ref="E91" r:id="rId128" display="https://www.tiktok.com/@superconsumer?_t=ZM-8yzM19UwYQ1&amp;_r=1" xr:uid="{00000000-0004-0000-0200-00007F000000}"/>
    <hyperlink ref="C92" r:id="rId129" display="https://www.instagram.com/cmdias_oficial?igsh=MXhkazV4a3ZvOGF2cg%3D%3D&amp;utm_source=qr" xr:uid="{00000000-0004-0000-0200-000080000000}"/>
    <hyperlink ref="E92" r:id="rId130" display="https://www.tiktok.com/@cmdias_oficial?_t=ZM-8yncuV98E6S&amp;_r=1" xr:uid="{00000000-0004-0000-0200-000081000000}"/>
    <hyperlink ref="C93" r:id="rId131" display="https://www.instagram.com/vitordobranding" xr:uid="{00000000-0004-0000-0200-000082000000}"/>
    <hyperlink ref="E93" r:id="rId132" display="https://www.tiktok.com/@talk.pc?_t=ZM-8wlznUJVtGI&amp;_r=1" xr:uid="{00000000-0004-0000-0200-000083000000}"/>
    <hyperlink ref="C94" r:id="rId133" display="https://www.instagram.com/acheinapromoo/" xr:uid="{00000000-0004-0000-0200-000084000000}"/>
    <hyperlink ref="E94" r:id="rId134" display="https://www.tiktok.com/@juliafarath" xr:uid="{00000000-0004-0000-0200-000085000000}"/>
    <hyperlink ref="C95" r:id="rId135" display="https://www.instagram.com/gabpromo_/" xr:uid="{00000000-0004-0000-0200-000086000000}"/>
    <hyperlink ref="E95" r:id="rId136" display="https://www.tiktok.com/@gabpromo_" xr:uid="{00000000-0004-0000-0200-000087000000}"/>
    <hyperlink ref="C96" r:id="rId137" display="https://www.instagram.com/achadosebarato?igsh=Nmh4YzU2ZmxqMHd2&amp;utm_source=qr" xr:uid="{00000000-0004-0000-0200-000088000000}"/>
    <hyperlink ref="C97" r:id="rId138" display="https://www.instagram.com/henriquecardosoyt/" xr:uid="{00000000-0004-0000-0200-000089000000}"/>
    <hyperlink ref="E97" r:id="rId139" display="https://www.tiktok.com/@henriquecardosotech" xr:uid="{00000000-0004-0000-0200-00008A000000}"/>
    <hyperlink ref="C99" r:id="rId140" display="https://www.instagram.com/tecnan_informatica" xr:uid="{00000000-0004-0000-0200-00008B000000}"/>
    <hyperlink ref="E99" r:id="rId141" display="https://www.tiktok.com/@tecnaninformatica" xr:uid="{00000000-0004-0000-0200-00008C000000}"/>
    <hyperlink ref="C100" r:id="rId142" display="https://www.instagram.com/technatela/" xr:uid="{00000000-0004-0000-0200-00008D000000}"/>
    <hyperlink ref="E100" r:id="rId143" display="https://www.tiktok.com/@technatela" xr:uid="{00000000-0004-0000-0200-00008E000000}"/>
    <hyperlink ref="C101" r:id="rId144" display="https://www.instagram.com/promotomofertas/" xr:uid="{00000000-0004-0000-0200-00008F000000}"/>
    <hyperlink ref="E101" r:id="rId145" display="https://www.tiktok.com/@promotom_" xr:uid="{00000000-0004-0000-0200-000090000000}"/>
    <hyperlink ref="C102" r:id="rId146" display="https://economisterpromocoes.com/grupos" xr:uid="{00000000-0004-0000-0200-000091000000}"/>
    <hyperlink ref="C103" r:id="rId147" display="https://www.instagram.com/cout.samuel/?hl=pt-br" xr:uid="{00000000-0004-0000-0200-000092000000}"/>
    <hyperlink ref="E103" r:id="rId148" display="http://www.youtube.com/c/SamuelCout" xr:uid="{00000000-0004-0000-0200-000093000000}"/>
    <hyperlink ref="C104" r:id="rId149" display="https://www.instagram.com/iskandar_souza/" xr:uid="{00000000-0004-0000-0200-000094000000}"/>
    <hyperlink ref="E104" r:id="rId150" display="https://www.tiktok.com/@iskandar_souza" xr:uid="{00000000-0004-0000-0200-000095000000}"/>
    <hyperlink ref="C105" r:id="rId151" display="https://www.instagram.com/rochahardtec?igsh=MXUwcGk2dzY2dG1vdg==" xr:uid="{00000000-0004-0000-0200-000096000000}"/>
    <hyperlink ref="C107" r:id="rId152" display="https://www.instagram.com/promodaluh?igsh=MXFiNW9vNHh5NDBxdA==" xr:uid="{00000000-0004-0000-0200-000097000000}"/>
    <hyperlink ref="E107" r:id="rId153" display="https://www.tiktok.com/@cabellosderapunzell?_t=ZM-8xkSRfgHQKE&amp;_r=1" xr:uid="{00000000-0004-0000-0200-000098000000}"/>
    <hyperlink ref="C108" r:id="rId154" display="https://www.instagram.com/lucasbenevides.oficial?igsh=YzRmZzd1MXJ2ZzZr" xr:uid="{00000000-0004-0000-0200-000099000000}"/>
    <hyperlink ref="E108" r:id="rId155" display="https://www.tiktok.com/@lucasbenevides.oficial?_t=ZM-8yqVXK9BYPg&amp;_r=1" xr:uid="{00000000-0004-0000-0200-00009A000000}"/>
    <hyperlink ref="C109" r:id="rId156" display="https://www.instagram.com/ladotech.com.br/" xr:uid="{00000000-0004-0000-0200-00009B000000}"/>
    <hyperlink ref="E109" r:id="rId157" display="https://www.tiktok.com/@ladotech.com.br" xr:uid="{00000000-0004-0000-0200-00009C000000}"/>
    <hyperlink ref="C110" r:id="rId158" display="https://www.instagram.com/rafaelpachecotech/" xr:uid="{00000000-0004-0000-0200-00009D000000}"/>
    <hyperlink ref="E110" r:id="rId159" display="https://www.tiktok.com/@rafaelpachecotech" xr:uid="{00000000-0004-0000-0200-00009E000000}"/>
    <hyperlink ref="C111" r:id="rId160" display="https://www.instagram.com/aquitempechincha" xr:uid="{00000000-0004-0000-0200-00009F000000}"/>
    <hyperlink ref="E111" r:id="rId161" display="https://www.tiktok.com/@aquitempechincha" xr:uid="{00000000-0004-0000-0200-0000A0000000}"/>
    <hyperlink ref="C112" r:id="rId162" display="https://www.instagram.com/fiaspo/" xr:uid="{00000000-0004-0000-0200-0000A1000000}"/>
    <hyperlink ref="E112" r:id="rId163" display="https://www.tiktok.com/@Fiaspo" xr:uid="{00000000-0004-0000-0200-0000A2000000}"/>
    <hyperlink ref="C113" r:id="rId164" display="https://www.instagram.com/maa_teus/" xr:uid="{00000000-0004-0000-0200-0000A3000000}"/>
    <hyperlink ref="C114" r:id="rId165" display="https://www.instagram.com/achadosdascar?igsh=MXd0N3Q3djc5cDQ1dQ%3D%3D&amp;utm_source=qr" xr:uid="{00000000-0004-0000-0200-0000A4000000}"/>
    <hyperlink ref="E114" r:id="rId166" display="https://www.tiktok.com/@fscarx?_t=ZM-8ysySvvhsP8&amp;_r=1" xr:uid="{00000000-0004-0000-0200-0000A5000000}"/>
    <hyperlink ref="C116" r:id="rId167" display="https://www.instagram.com/grupomenorpreco/" xr:uid="{00000000-0004-0000-0200-0000A6000000}"/>
    <hyperlink ref="E116" r:id="rId168" display="https://www.tiktok.com/@grupo.menor.preco?_t=ZM-8yIPBb9mlVN&amp;_r=1" xr:uid="{00000000-0004-0000-0200-0000A7000000}"/>
    <hyperlink ref="C117" r:id="rId169" display="https://www.youtube.com/ilustratop" xr:uid="{00000000-0004-0000-0200-0000A8000000}"/>
    <hyperlink ref="C118" r:id="rId170" display="https://www.instagram.com/achados_afneto/" xr:uid="{00000000-0004-0000-0200-0000A9000000}"/>
    <hyperlink ref="C119" r:id="rId171" display="https://www.instagram.com/achadinhoscomcarol?igsh=MXF4NGhmcXdtcGdqYQ%3D%3D&amp;utm_source=qr" xr:uid="{00000000-0004-0000-0200-0000AA000000}"/>
    <hyperlink ref="E120" r:id="rId172" display="https://www.tiktok.com/@emipefps" xr:uid="{00000000-0004-0000-0200-0000AB000000}"/>
    <hyperlink ref="C121" r:id="rId173" display="https://www.instagram.com/topdescontosoficial/" xr:uid="{00000000-0004-0000-0200-0000AC000000}"/>
    <hyperlink ref="E121" r:id="rId174" display="https://www.tiktok.com/@topdescontosoficial" xr:uid="{00000000-0004-0000-0200-0000AD000000}"/>
    <hyperlink ref="C123" r:id="rId175" display="https://www.instagram.com/achadosdaccarol?igsh=OTRwZ2Zoa2N6dWlm&amp;utm_source=qr" xr:uid="{00000000-0004-0000-0200-0000AE000000}"/>
    <hyperlink ref="E123" r:id="rId176" display="https://www.tiktok.com/@achadosdaccaarol?_t=ZM-8xhtXq0mHSv&amp;_r=1" xr:uid="{00000000-0004-0000-0200-0000AF000000}"/>
    <hyperlink ref="C124" r:id="rId177" display="https://www.instagram.com/pobre_pcruim/" xr:uid="{00000000-0004-0000-0200-0000B0000000}"/>
    <hyperlink ref="E124" r:id="rId178" display="https://www.tiktok.com/@pobre_pcruim" xr:uid="{00000000-0004-0000-0200-0000B1000000}"/>
    <hyperlink ref="C125" r:id="rId179" display="https://www.instagram.com/danferreiratech/" xr:uid="{00000000-0004-0000-0200-0000B2000000}"/>
    <hyperlink ref="E125" r:id="rId180" display="https://www.tiktok.com/@danferreiratech" xr:uid="{00000000-0004-0000-0200-0000B3000000}"/>
    <hyperlink ref="C126" r:id="rId181" display="https://www.instagram.com/allan_belarmino/" xr:uid="{00000000-0004-0000-0200-0000B4000000}"/>
    <hyperlink ref="E126" r:id="rId182" display="https://www.tiktok.com/@alishow_oficial" xr:uid="{00000000-0004-0000-0200-0000B5000000}"/>
    <hyperlink ref="C127" r:id="rId183" display="https://www.instagram.com/oficinadanetoficial/?hl=pt-br" xr:uid="{00000000-0004-0000-0200-0000B6000000}"/>
    <hyperlink ref="E127" r:id="rId184" display="https://www.tiktok.com/@oficinadanetoficial" xr:uid="{00000000-0004-0000-0200-0000B7000000}"/>
    <hyperlink ref="C129" r:id="rId185" display="https://www.instagram.com/sereiapromo?igsh=MTR5eGQ3ZXdpeHd0Zw%3D%3D&amp;utm_source=qr" xr:uid="{00000000-0004-0000-0200-0000B8000000}"/>
    <hyperlink ref="C131" r:id="rId186" display="https://www.instagram.com/affili.on/" xr:uid="{00000000-0004-0000-0200-0000B9000000}"/>
    <hyperlink ref="C132" r:id="rId187" display="https://www.instagram.com/canal60up?igsh=eGhnam8zazdrcmhn&amp;utm_source=qr" xr:uid="{00000000-0004-0000-0200-0000BA000000}"/>
    <hyperlink ref="E132" r:id="rId188" display="https://www.tiktok.com/@durizzo?_t=ZM-8xhkO7cZTD3&amp;_r=1" xr:uid="{00000000-0004-0000-0200-0000BB000000}"/>
    <hyperlink ref="C133" r:id="rId189" display="http://instagram.com/" xr:uid="{00000000-0004-0000-0200-0000BC000000}"/>
    <hyperlink ref="E133" r:id="rId190" display="http://tiktok.com/" xr:uid="{00000000-0004-0000-0200-0000BD000000}"/>
    <hyperlink ref="C134" r:id="rId191" display="https://www.instagram.com/meups_oficial/" xr:uid="{00000000-0004-0000-0200-0000BE000000}"/>
    <hyperlink ref="E134" r:id="rId192" display="https://www.tiktok.com/@meups_oficial" xr:uid="{00000000-0004-0000-0200-0000BF000000}"/>
    <hyperlink ref="C135" r:id="rId193" display="https://www.instagram.com/temdetudotchelo/" xr:uid="{00000000-0004-0000-0200-0000C0000000}"/>
    <hyperlink ref="E135" r:id="rId194" display="https://www.tiktok.com/@temdetudotchelo" xr:uid="{00000000-0004-0000-0200-0000C1000000}"/>
    <hyperlink ref="C136" r:id="rId195" display="https://www.instagram.com/achadinhodahora0?igsh=MTNhbTBtamN0bG1zcg%3D%3D&amp;utm_source=qr" xr:uid="{00000000-0004-0000-0200-0000C2000000}"/>
    <hyperlink ref="C137" r:id="rId196" display="https://www.instagram.com/fazaboadescontos?igsh=MXZtcDF4eDAxMzl5bg==" xr:uid="{00000000-0004-0000-0200-0000C3000000}"/>
    <hyperlink ref="C138" r:id="rId197" display="https://www.instagram.com/estreladosom?igsh=cnkxam05OXM0bjAw" xr:uid="{00000000-0004-0000-0200-0000C4000000}"/>
    <hyperlink ref="C139" r:id="rId198" display="https://www.instagram.com/wolf.ofertas/" xr:uid="{00000000-0004-0000-0200-0000C5000000}"/>
    <hyperlink ref="E139" r:id="rId199" display="https://www.tiktok.com/@wolfpromos" xr:uid="{00000000-0004-0000-0200-0000C6000000}"/>
    <hyperlink ref="C140" r:id="rId200" display="https://www.instagram.com/versatilfragrance?igsh=MWoza2RmanBsbzdqeg%3D%3D&amp;utm_source=qr" xr:uid="{00000000-0004-0000-0200-0000C7000000}"/>
    <hyperlink ref="E140" r:id="rId201" display="https://www.tiktok.com/@versatilfragrance?_t=ZM-8xhm8akRKPW&amp;_r=1" xr:uid="{00000000-0004-0000-0200-0000C8000000}"/>
    <hyperlink ref="C142" r:id="rId202" display="https://www.instagram.com/luandoparedaoo?igsh=MWltZXJ0dGhvdDBwbw==" xr:uid="{00000000-0004-0000-0200-0000C9000000}"/>
    <hyperlink ref="C147" r:id="rId203" display="https://www.instagram.com/promobabykidsonline/" xr:uid="{00000000-0004-0000-0200-0000CA000000}"/>
    <hyperlink ref="C148" r:id="rId204" display="http://instagram.com/ofertaodovinil" xr:uid="{00000000-0004-0000-0200-0000CB000000}"/>
    <hyperlink ref="C149" r:id="rId205" display="https://www.instagram.com/alerta_cupons" xr:uid="{00000000-0004-0000-0200-0000CC000000}"/>
    <hyperlink ref="E149" r:id="rId206" display="https://www.tiktok.com/@alertadecupons" xr:uid="{00000000-0004-0000-0200-0000CD000000}"/>
    <hyperlink ref="C150" r:id="rId207" display="https://www.instagram.com/mc8mb/" xr:uid="{00000000-0004-0000-0200-0000CE000000}"/>
    <hyperlink ref="E150" r:id="rId208" display="https://www.instagram.com/mc8mb/" xr:uid="{00000000-0004-0000-0200-0000CF000000}"/>
    <hyperlink ref="C151" r:id="rId209" display="https://www.instagram.com/promoonpromos/" xr:uid="{00000000-0004-0000-0200-0000D0000000}"/>
    <hyperlink ref="E151" r:id="rId210" display="https://www.tiktok.com/@promoonpromos" xr:uid="{00000000-0004-0000-0200-0000D1000000}"/>
    <hyperlink ref="C152" r:id="rId211" display="http://instagram.com/" xr:uid="{00000000-0004-0000-0200-0000D2000000}"/>
    <hyperlink ref="C153" r:id="rId212" display="https://www.instagram.com/rosleonoficial" xr:uid="{00000000-0004-0000-0200-0000D3000000}"/>
    <hyperlink ref="E153" r:id="rId213" display="https://www.tiktok.com/@rosleonoficial" xr:uid="{00000000-0004-0000-0200-0000D4000000}"/>
    <hyperlink ref="C154" r:id="rId214" display="https://www.instagram.com/bruxopromos" xr:uid="{00000000-0004-0000-0200-0000D5000000}"/>
    <hyperlink ref="C156" r:id="rId215" display="https://www.instagram.com/donnadescontos/" xr:uid="{00000000-0004-0000-0200-0000D6000000}"/>
    <hyperlink ref="E156" r:id="rId216" display="https://www.tiktok.com/@donnadescontos" xr:uid="{00000000-0004-0000-0200-0000D7000000}"/>
    <hyperlink ref="C157" r:id="rId217" display="https://www.instagram.com/alphafitnessbrazil?igsh=MW4zZ2h6YjBnanJqOA==" xr:uid="{00000000-0004-0000-0200-0000D8000000}"/>
    <hyperlink ref="C158" r:id="rId218" display="https://www.instagram.com/diogenes_carneiroo?igsh=bWh5MGk5YW0zNjQ5" xr:uid="{00000000-0004-0000-0200-0000D9000000}"/>
    <hyperlink ref="C159" r:id="rId219" display="https://www.instagram.com/promocoesdahora.ofc/" xr:uid="{00000000-0004-0000-0200-0000DA000000}"/>
    <hyperlink ref="E159" r:id="rId220" display="https://www.tiktok.com/@promocoesdahoraoficial" xr:uid="{00000000-0004-0000-0200-0000DB000000}"/>
    <hyperlink ref="C162" r:id="rId221" display="https://www.instagram.com/passageirodeprimeira?igsh=MWg2bjdxNGxndDFqYw==" xr:uid="{00000000-0004-0000-0200-0000DC000000}"/>
    <hyperlink ref="E162" r:id="rId222" display="https://www.tiktok.com/@passageirode1a?_t=ZM-8z2mH7UvXPk&amp;_r=1" xr:uid="{00000000-0004-0000-0200-0000DD000000}"/>
    <hyperlink ref="C163" r:id="rId223" display="https://www.instagram.com/guicasainteligente/?hl=pt" xr:uid="{00000000-0004-0000-0200-0000DE000000}"/>
    <hyperlink ref="E163" r:id="rId224" display="https://www.tiktok.com/@guicasainteligente?_t=ZM-8xg2kGUQD60&amp;_r=1" xr:uid="{00000000-0004-0000-0200-0000DF000000}"/>
    <hyperlink ref="C164" r:id="rId225" display="https://www.instagram.com/achei_top_demais/" xr:uid="{00000000-0004-0000-0200-0000E0000000}"/>
    <hyperlink ref="C167" r:id="rId226" display="https://www.instagram.com/promosday_tec?igsh=MW01aWsycG5ka3NrZA==" xr:uid="{00000000-0004-0000-0200-0000E1000000}"/>
    <hyperlink ref="E167" r:id="rId227" display="https://www.tiktok.com/@day.promos?_t=ZM-8yzLgWz66UA&amp;_r=1" xr:uid="{00000000-0004-0000-0200-0000E2000000}"/>
    <hyperlink ref="C168" r:id="rId228" display="https://www.instagram.com/formulaidealfit/profilecard/?igsh=b3JibGx2aGVzMDc=" xr:uid="{00000000-0004-0000-0200-0000E3000000}"/>
    <hyperlink ref="C169" r:id="rId229" display="https://www.instagram.com/canalmaxdicas/" xr:uid="{00000000-0004-0000-0200-0000E4000000}"/>
    <hyperlink ref="E169" r:id="rId230" display="https://tiktok.com/@maxdicas" xr:uid="{00000000-0004-0000-0200-0000E5000000}"/>
    <hyperlink ref="C170" r:id="rId231" display="https://www.instagram.com/oqcomprei/" xr:uid="{00000000-0004-0000-0200-0000E6000000}"/>
    <hyperlink ref="E170" r:id="rId232" display="https://tiktok.com/@oqcomprei" xr:uid="{00000000-0004-0000-0200-0000E7000000}"/>
    <hyperlink ref="C171" r:id="rId233" display="https://www.instagram.com/casalperdidinho?igsh=eWhsZ3BjenNzeHBr&amp;utm_source=qr" xr:uid="{00000000-0004-0000-0200-0000E8000000}"/>
    <hyperlink ref="E171" r:id="rId234" display="https://www.tiktok.com/@casalperdidinho?_t=ZM-8xwbnJllBri&amp;_r=1" xr:uid="{00000000-0004-0000-0200-0000E9000000}"/>
    <hyperlink ref="C173" r:id="rId235" display="https://www.instagram.com/leandro_sejaseupatrao" xr:uid="{00000000-0004-0000-0200-0000EA000000}"/>
    <hyperlink ref="E173" r:id="rId236" display="https://www.tiktok.com/@leandro_indica" xr:uid="{00000000-0004-0000-0200-0000EB000000}"/>
    <hyperlink ref="C174" r:id="rId237" display="https://www.instagram.com/achadinhodadri" xr:uid="{00000000-0004-0000-0200-0000EC000000}"/>
    <hyperlink ref="E174" r:id="rId238" display="https://www.tiktok.com/@achadinhodadri" xr:uid="{00000000-0004-0000-0200-0000ED000000}"/>
    <hyperlink ref="C175" r:id="rId239" display="https://www.instagram.com/promocoes_da_juh_?igsh=MWpoNG03dnl3MjR4dw%3D%3D&amp;utm_source=qr" xr:uid="{00000000-0004-0000-0200-0000EE000000}"/>
    <hyperlink ref="E175" r:id="rId240" display="https://www.tiktok.com/@jhuenzooo?_t=ZM-8yzbeudguhR&amp;_r=1" xr:uid="{00000000-0004-0000-0200-0000EF000000}"/>
    <hyperlink ref="C176" r:id="rId241" display="https://www.instagram.com/adivulgadora/" xr:uid="{00000000-0004-0000-0200-0000F0000000}"/>
    <hyperlink ref="E176" r:id="rId242" display="https://www.tiktok.com/@adivulgadoraa?_t=ZM-8xhlRWr8uGe&amp;_r=1" xr:uid="{00000000-0004-0000-0200-0000F1000000}"/>
    <hyperlink ref="C177" r:id="rId243" display="https://www.instagram.com/xaviertech.yt?igsh=aGowbHl1cjc4bWR3" xr:uid="{00000000-0004-0000-0200-0000F2000000}"/>
    <hyperlink ref="E177" r:id="rId244" display="https://www.tiktok.com/@xaviertechinformatica?_t=ZM-8xhjlry29VG&amp;_r=1" xr:uid="{00000000-0004-0000-0200-0000F3000000}"/>
    <hyperlink ref="C178" r:id="rId245" display="https://www.instagram.com/ogurudaspromos/" xr:uid="{00000000-0004-0000-0200-0000F4000000}"/>
    <hyperlink ref="C179" r:id="rId246" display="https://www.instagram.com/matheuscoutomga?igsh=Mnk1cG5qb3Jsd25n&amp;utm_source=qr" xr:uid="{00000000-0004-0000-0200-0000F5000000}"/>
    <hyperlink ref="C180" r:id="rId247" display="http://instagram.com/ofertas.perdidinhas" xr:uid="{00000000-0004-0000-0200-0000F6000000}"/>
    <hyperlink ref="C181" r:id="rId248" display="https://www.instagram.com/guiadecomprasfh" xr:uid="{00000000-0004-0000-0200-0000F7000000}"/>
    <hyperlink ref="C182" r:id="rId249" display="https://www.instagram.com/apromoperfeita/" xr:uid="{00000000-0004-0000-0200-0000F8000000}"/>
    <hyperlink ref="E182" r:id="rId250" display="https://www.tiktok.com/@apromoperfeita" xr:uid="{00000000-0004-0000-0200-0000F9000000}"/>
    <hyperlink ref="C183" r:id="rId251" display="http://nao.uso.essa.rede/" xr:uid="{00000000-0004-0000-0200-0000FA000000}"/>
    <hyperlink ref="E183" r:id="rId252" display="http://nao.uso.essa.rede/" xr:uid="{00000000-0004-0000-0200-0000FB000000}"/>
    <hyperlink ref="C184" r:id="rId253" display="https://www.instagram.com/achados.economyza/" xr:uid="{00000000-0004-0000-0200-0000FC000000}"/>
    <hyperlink ref="E184" r:id="rId254" display="https://www.tiktok.com/@achados.economyza" xr:uid="{00000000-0004-0000-0200-0000FD000000}"/>
    <hyperlink ref="C185" r:id="rId255" display="https://www.instagram.com/indica.pedro?igsh=ZjkyZWFjbTVkeDB5" xr:uid="{00000000-0004-0000-0200-0000FE000000}"/>
    <hyperlink ref="E185" r:id="rId256" display="https://www.tiktok.com/@simpsons.tech" xr:uid="{00000000-0004-0000-0200-0000FF000000}"/>
    <hyperlink ref="C186" r:id="rId257" display="https://www.instagram.com/mosterofertas/?hl=en" xr:uid="{00000000-0004-0000-0200-000000010000}"/>
    <hyperlink ref="E186" r:id="rId258" display="https://www.tiktok.com/@monsterofertas?_t=ZM-8xh21zF0Kgi&amp;_r=1" xr:uid="{00000000-0004-0000-0200-000001010000}"/>
    <hyperlink ref="C187" r:id="rId259" display="https://www.instagram.com/robertodaroz/" xr:uid="{00000000-0004-0000-0200-000002010000}"/>
    <hyperlink ref="C188" r:id="rId260" display="http://www.instagram.com/akipromocoesoficial" xr:uid="{00000000-0004-0000-0200-000003010000}"/>
    <hyperlink ref="C189" r:id="rId261" display="https://www.instagram.com/odavyjones/" xr:uid="{00000000-0004-0000-0200-000004010000}"/>
    <hyperlink ref="E189" r:id="rId262" display="https://www.tiktok.com/@odavyjones" xr:uid="{00000000-0004-0000-0200-000005010000}"/>
    <hyperlink ref="C190" r:id="rId263" display="https://www.instagram.com/cantinho_das_promos?igsh=NnBuZng2dGhjbXpq&amp;utm_source=qr" xr:uid="{00000000-0004-0000-0200-000006010000}"/>
    <hyperlink ref="E190" r:id="rId264" display="https://www.tiktok.com/@cantinhodaspromosoficial?_t=ZM-8xmfi0UCyKz&amp;_r=1" xr:uid="{00000000-0004-0000-0200-000007010000}"/>
    <hyperlink ref="C191" r:id="rId265" display="https://www.instagram.com/sharkdaspromo?igsh=ODlzNDNuMW9kZ3Bi" xr:uid="{00000000-0004-0000-0200-000008010000}"/>
    <hyperlink ref="C193" r:id="rId266" display="https://www.instagram.com/eudanielmarvel" xr:uid="{00000000-0004-0000-0200-000009010000}"/>
    <hyperlink ref="E193" r:id="rId267" display="https://www.tiktok.com/@eudanielmarvel" xr:uid="{00000000-0004-0000-0200-00000A010000}"/>
    <hyperlink ref="C194" r:id="rId268" display="https://www.instagram.com/dicasdacleyde" xr:uid="{00000000-0004-0000-0200-00000B010000}"/>
    <hyperlink ref="C195" r:id="rId269" display="https://www.instagram.com/promosnahora/profilecard/?igsh=MTkyaG5zcTQzMGViOA==" xr:uid="{00000000-0004-0000-0200-00000C010000}"/>
    <hyperlink ref="E195" r:id="rId270" display="https://www.tiktok.com/@promosnahora?_t=ZM-8xhmhcgD673&amp;_r=1" xr:uid="{00000000-0004-0000-0200-00000D010000}"/>
    <hyperlink ref="C196" r:id="rId271" display="https://www.instagram.com/marciavascouto?igsh=MWVlbnFtbTVkODI5Zg%3D%3D&amp;utm_source=qr" xr:uid="{00000000-0004-0000-0200-00000E010000}"/>
    <hyperlink ref="E196" r:id="rId272" display="https://www.tiktok.com/@marciavascouto?_t=ZM-8xi0gFkTQOs&amp;_r=1" xr:uid="{00000000-0004-0000-0200-00000F010000}"/>
    <hyperlink ref="C198" r:id="rId273" display="https://www.instagram.com/sydescontinho?igsh=MXUxbHFqN3FlNXQ4MA%3D%3D&amp;utm_source=qr" xr:uid="{00000000-0004-0000-0200-000010010000}"/>
    <hyperlink ref="E198" r:id="rId274" display="https://www.tiktok.com/@shareyourdescontinho?_t=ZM-8xg4NwNIXbi&amp;_r=1" xr:uid="{00000000-0004-0000-0200-000011010000}"/>
    <hyperlink ref="C199" r:id="rId275" display="https://www.instagram.com/maiaraportooficial/" xr:uid="{00000000-0004-0000-0200-000012010000}"/>
    <hyperlink ref="E199" r:id="rId276" display="https://www.tiktok.com/@portomaiara" xr:uid="{00000000-0004-0000-0200-000013010000}"/>
    <hyperlink ref="C201" r:id="rId277" display="https://www.instagram.com/achadinhos.excelentes/" xr:uid="{00000000-0004-0000-0200-000014010000}"/>
    <hyperlink ref="E201" r:id="rId278" display="https://www.tiktok.com/@achadinhosexcelentes?_t=ZM-8yeRl3fJF81&amp;_r=1" xr:uid="{00000000-0004-0000-0200-000015010000}"/>
    <hyperlink ref="C202" r:id="rId279" display="https://www.instagram.com/bigofertasvip/" xr:uid="{00000000-0004-0000-0200-000016010000}"/>
    <hyperlink ref="C204" r:id="rId280" display="http://instagram.com/promosdorafa_" xr:uid="{00000000-0004-0000-0200-000017010000}"/>
    <hyperlink ref="E204" r:id="rId281" display="http://tiktok.com.br/promosdorafa" xr:uid="{00000000-0004-0000-0200-000018010000}"/>
    <hyperlink ref="C205" r:id="rId282" display="https://www.instagram.com/_felipericardoo/" xr:uid="{00000000-0004-0000-0200-000019010000}"/>
    <hyperlink ref="E205" r:id="rId283" display="https://www.tiktok.com/@felipericardoo7" xr:uid="{00000000-0004-0000-0200-00001A010000}"/>
    <hyperlink ref="C206" r:id="rId284" display="https://www.instagram.com/superdicasecupons" xr:uid="{00000000-0004-0000-0200-00001B010000}"/>
    <hyperlink ref="E206" r:id="rId285" display="https://www.tiktok.com/@superdicasecupons" xr:uid="{00000000-0004-0000-0200-00001C010000}"/>
    <hyperlink ref="C207" r:id="rId286" display="https://www.instagram.com/economizeiro/" xr:uid="{00000000-0004-0000-0200-00001D010000}"/>
    <hyperlink ref="C209" r:id="rId287" display="https://www.instagram.com/malucasdapromo/" xr:uid="{00000000-0004-0000-0200-00001E010000}"/>
    <hyperlink ref="E209" r:id="rId288" display="https://www.tiktok.com/@malucasdapromo?_t=ZM-8y6xUHKqwEv&amp;_r=1" xr:uid="{00000000-0004-0000-0200-00001F010000}"/>
    <hyperlink ref="C211" r:id="rId289" display="https://www.instagram.com/espieioferta/" xr:uid="{00000000-0004-0000-0200-000020010000}"/>
    <hyperlink ref="C212" r:id="rId290" display="https://www.instagram.com/quartetofantasticodapri?igsh=MXExZGlxY3ZpOWNuZg==" xr:uid="{00000000-0004-0000-0200-000021010000}"/>
    <hyperlink ref="C216" r:id="rId291" display="https://www.instagram.com/imperadordaspromocoes/" xr:uid="{00000000-0004-0000-0200-000022010000}"/>
    <hyperlink ref="C217" r:id="rId292" display="https://www.instagram.com/asofertasdahora" xr:uid="{00000000-0004-0000-0200-000023010000}"/>
    <hyperlink ref="C218" r:id="rId293" display="https://www.instagram.com/lokaodaspromo" xr:uid="{00000000-0004-0000-0200-000024010000}"/>
    <hyperlink ref="C219" r:id="rId294" display="https://www.youtube.com/c/Sa%C3%BAdeemForma" xr:uid="{00000000-0004-0000-0200-000025010000}"/>
    <hyperlink ref="E219" r:id="rId295" display="https://www.tiktok.com/@mateus.sef" xr:uid="{00000000-0004-0000-0200-000026010000}"/>
    <hyperlink ref="C220" r:id="rId296" display="https://instagram.com/marcustech.oficial?igshid=YmMyMTA2M2Y=" xr:uid="{00000000-0004-0000-0200-000027010000}"/>
    <hyperlink ref="E220" r:id="rId297" display="https://www.youtube.com/@marcustech" xr:uid="{00000000-0004-0000-0200-000028010000}"/>
    <hyperlink ref="C222" r:id="rId298" display="https://www.instagram.com/dayanepatriarca_?igsh=MXcxdGw2OTUycWlwMA%3D%3D&amp;utm_source=qr" xr:uid="{00000000-0004-0000-0200-000029010000}"/>
    <hyperlink ref="E222" r:id="rId299" display="https://www.tiktok.com/@dayanepatriarca_?_t=ZM-8ydNYa7KKYf&amp;_r=1" xr:uid="{00000000-0004-0000-0200-00002A010000}"/>
    <hyperlink ref="C223" r:id="rId300" display="https://www.instagram.com/senhorlinguicayt?igsh=NGN0aHZkb3lpY2ls" xr:uid="{00000000-0004-0000-0200-00002B010000}"/>
    <hyperlink ref="E223" r:id="rId301" display="https://www.tiktok.com/@senhorlinguica?_t=ZM-8xfxh7dIww4&amp;_r=1" xr:uid="{00000000-0004-0000-0200-00002C010000}"/>
    <hyperlink ref="C224" r:id="rId302" display="http://www.instagram.com/amigacompra" xr:uid="{00000000-0004-0000-0200-00002D010000}"/>
    <hyperlink ref="C225" r:id="rId303" display="http://www.youtube.com/@blogdocafe" xr:uid="{00000000-0004-0000-0200-00002E010000}"/>
    <hyperlink ref="C226" r:id="rId304" display="https://www.instagram.com/arainhadaspromocoes" xr:uid="{00000000-0004-0000-0200-00002F010000}"/>
    <hyperlink ref="E226" r:id="rId305" display="https://www.tiktok.com/@arainhadaspromocoes" xr:uid="{00000000-0004-0000-0200-000030010000}"/>
    <hyperlink ref="C227" r:id="rId306" display="https://www.instagram.com/canaldigplay/" xr:uid="{00000000-0004-0000-0200-000031010000}"/>
    <hyperlink ref="E227" r:id="rId307" display="https://www.tiktok.com/@digplay" xr:uid="{00000000-0004-0000-0200-000032010000}"/>
    <hyperlink ref="C228" r:id="rId308" display="https://www.instagram.com/top_ofertas4?igsh=dWphYzliempram40" xr:uid="{00000000-0004-0000-0200-000033010000}"/>
    <hyperlink ref="C229" r:id="rId309" display="https://www.instagram.com/willsabarreto?igsh=MWdvZnd0b3ZtcnBhaw%3D%3D&amp;utm_source=qr" xr:uid="{00000000-0004-0000-0200-000034010000}"/>
    <hyperlink ref="E229" r:id="rId310" display="https://www.tiktok.com/@will.sabarreto?_t=ZM-8ydNVvl0XuK&amp;_r=1" xr:uid="{00000000-0004-0000-0200-000035010000}"/>
    <hyperlink ref="C230" r:id="rId311" display="https://www.instagram.com/topofertasbabykids/" xr:uid="{00000000-0004-0000-0200-000036010000}"/>
    <hyperlink ref="C232" r:id="rId312" display="https://www.instagram.com/gabpromo_?igsh=MWZobTdzc3RtazB4Yg==" xr:uid="{00000000-0004-0000-0200-000037010000}"/>
    <hyperlink ref="C233" r:id="rId313" display="https://www.instagram.com/mathvsl" xr:uid="{00000000-0004-0000-0200-000038010000}"/>
    <hyperlink ref="E233" r:id="rId314" display="https://www.tiktok.com/@mathvsl" xr:uid="{00000000-0004-0000-0200-000039010000}"/>
    <hyperlink ref="C238" r:id="rId315" display="https://www.instagram.com/guigagamesoficial/" xr:uid="{00000000-0004-0000-0200-00003A010000}"/>
    <hyperlink ref="C239" r:id="rId316" display="https://www.instagram.com/ape_j.c?igsh=aHhlYmR3MXhlYzRm&amp;utm_source=qr" xr:uid="{00000000-0004-0000-0200-00003B010000}"/>
    <hyperlink ref="E239" r:id="rId317" display="https://www.tiktok.com/@ape_j.c?_t=ZM-8z1BpIEESt6&amp;_r=1" xr:uid="{00000000-0004-0000-0200-00003C010000}"/>
    <hyperlink ref="C240" r:id="rId318" display="https://www.instagram.com/viciadopromocao" xr:uid="{00000000-0004-0000-0200-00003D010000}"/>
    <hyperlink ref="E240" r:id="rId319" display="https://www.tiktok.com/@viciadopromocao" xr:uid="{00000000-0004-0000-0200-00003E010000}"/>
    <hyperlink ref="C241" r:id="rId320" display="https://www.instagram.com/eu.deivisonreis/" xr:uid="{00000000-0004-0000-0200-00003F010000}"/>
    <hyperlink ref="C242" r:id="rId321" display="https://www.instagram.com/bestpromosbrasil?igsh=ZHNxOTJldHd4b2E=" xr:uid="{00000000-0004-0000-0200-000040010000}"/>
    <hyperlink ref="C243" r:id="rId322" display="https://www.instagram.com/promolowcost/" xr:uid="{00000000-0004-0000-0200-000041010000}"/>
    <hyperlink ref="C245" r:id="rId323" display="https://www.instagram.com/meupcnet/" xr:uid="{00000000-0004-0000-0200-000042010000}"/>
    <hyperlink ref="E245" r:id="rId324" display="https://www.tiktok.com/@meupcnet" xr:uid="{00000000-0004-0000-0200-000043010000}"/>
    <hyperlink ref="C246" r:id="rId325" display="https://www.instagram.com/iuriindica" xr:uid="{00000000-0004-0000-0200-000044010000}"/>
    <hyperlink ref="E246" r:id="rId326" display="https://www.tiktok.com/@iuriindica" xr:uid="{00000000-0004-0000-0200-000045010000}"/>
    <hyperlink ref="C247" r:id="rId327" display="https://www.instagram.com/promodescontocupons/" xr:uid="{00000000-0004-0000-0200-000046010000}"/>
    <hyperlink ref="C248" r:id="rId328" display="http://www.ofertaesperta.com/" xr:uid="{00000000-0004-0000-0200-000047010000}"/>
    <hyperlink ref="E248" r:id="rId329" display="http://www.ofertaesperta.com/" xr:uid="{00000000-0004-0000-0200-000048010000}"/>
    <hyperlink ref="C249" r:id="rId330" display="https://www.instagram.com/jordi.tech/" xr:uid="{00000000-0004-0000-0200-000049010000}"/>
    <hyperlink ref="C250" r:id="rId331" display="https://www.instagram.com/droneander/" xr:uid="{00000000-0004-0000-0200-00004A010000}"/>
    <hyperlink ref="C251" r:id="rId332" display="https://www.instagram.com/tecnoinffo?igsh=MWoxNDl2aHoyaXZrbA%3D%3D&amp;utm_source=qr" xr:uid="{00000000-0004-0000-0200-00004B010000}"/>
    <hyperlink ref="E251" r:id="rId333" display="https://www.tiktok.com/@tecnoinfo_?_t=ZM-8xgEtE2UKdK&amp;_r=1" xr:uid="{00000000-0004-0000-0200-00004C010000}"/>
    <hyperlink ref="C252" r:id="rId334" display="https://www.instagram.com/julyannepontes?igsh=aHRlamh1NXVicmw%3D&amp;utm_source=qr" xr:uid="{00000000-0004-0000-0200-00004D010000}"/>
    <hyperlink ref="E252" r:id="rId335" display="https://www.tiktok.com/@julyannepontes?is_from_webapp=1&amp;sender_device=pc" xr:uid="{00000000-0004-0000-0200-00004E010000}"/>
    <hyperlink ref="C253" r:id="rId336" display="https://www.instagram.com/rochahardtec?igsh=MXUwcGk2dzY2dG1vdg==" xr:uid="{00000000-0004-0000-0200-00004F010000}"/>
    <hyperlink ref="C254" r:id="rId337" display="https://www.instagram.com/descomplicabeleza/" xr:uid="{00000000-0004-0000-0200-000050010000}"/>
    <hyperlink ref="E254" r:id="rId338" display="https://www.tiktok.com/@dicasdemari?_t=ZM-8xihsTwCav7&amp;_r=1" xr:uid="{00000000-0004-0000-0200-000051010000}"/>
    <hyperlink ref="C256" r:id="rId339" display="https://instagram.com/sdmlinks" xr:uid="{00000000-0004-0000-0200-000052010000}"/>
    <hyperlink ref="E256" r:id="rId340" display="https://tiktok.com/@sdmlinks" xr:uid="{00000000-0004-0000-0200-000053010000}"/>
    <hyperlink ref="C257" r:id="rId341" display="http://instagram.com/promosdamarcioliver" xr:uid="{00000000-0004-0000-0200-000054010000}"/>
    <hyperlink ref="C258" r:id="rId342" display="http://www.instagram.com/suaoracao/" xr:uid="{00000000-0004-0000-0200-000055010000}"/>
    <hyperlink ref="E258" r:id="rId343" display="https://sndflw.com/i/whatsapp" xr:uid="{00000000-0004-0000-0200-000056010000}"/>
    <hyperlink ref="C261" r:id="rId344" display="https://www.instagram.com/infobrpromos/" xr:uid="{00000000-0004-0000-0200-000057010000}"/>
    <hyperlink ref="E261" r:id="rId345" display="https://www.tiktok.com/@infobrpromos" xr:uid="{00000000-0004-0000-0200-000058010000}"/>
    <hyperlink ref="C262" r:id="rId346" display="https://www.instagram.com/dicasdospapais?igsh=MXNkODBndWJ0aDl4ZQ==" xr:uid="{00000000-0004-0000-0200-000059010000}"/>
    <hyperlink ref="E262" r:id="rId347" display="https://www.tiktok.com/@dicasdospapais" xr:uid="{00000000-0004-0000-0200-00005A010000}"/>
    <hyperlink ref="C263" r:id="rId348" display="https://www.instagram.com/perigodaspromos?igsh=bHVnYXhzejl0aDYz" xr:uid="{00000000-0004-0000-0200-00005B010000}"/>
    <hyperlink ref="C265" r:id="rId349" display="https://www.instagram.com/achadosrarosvip?igsh=NXd3NWM1c2JrZ3Aw" xr:uid="{00000000-0004-0000-0200-00005C010000}"/>
    <hyperlink ref="E265" r:id="rId350" display="https://www.tiktok.com/@sereianata?_t=ZM-8xi6XO8UgVC&amp;_r=1" xr:uid="{00000000-0004-0000-0200-00005D010000}"/>
    <hyperlink ref="C266" r:id="rId351" display="https://www.instagram.com/testesedicasdodiego/" xr:uid="{00000000-0004-0000-0200-00005E010000}"/>
    <hyperlink ref="E266" r:id="rId352" display="https://www.tiktok.com/@testesedicas" xr:uid="{00000000-0004-0000-0200-00005F010000}"/>
    <hyperlink ref="C267" r:id="rId353" display="https://www.instagram.com/thpromos1/" xr:uid="{00000000-0004-0000-0200-000060010000}"/>
    <hyperlink ref="C268" r:id="rId354" display="https://www.instagram.com/fotodosfatos/" xr:uid="{00000000-0004-0000-0200-000061010000}"/>
    <hyperlink ref="E268" r:id="rId355" display="https://www.tiktok.com/@fotosdefatos" xr:uid="{00000000-0004-0000-0200-000062010000}"/>
    <hyperlink ref="C270" r:id="rId356" display="https://www.instagram.com/elisalangsch/" xr:uid="{00000000-0004-0000-0200-000063010000}"/>
    <hyperlink ref="E270" r:id="rId357" display="https://www.tiktok.com/@elisa.langsch" xr:uid="{00000000-0004-0000-0200-000064010000}"/>
    <hyperlink ref="C271" r:id="rId358" display="https://www.instagram.com/cacadescontosecupons" xr:uid="{00000000-0004-0000-0200-000065010000}"/>
    <hyperlink ref="E271" r:id="rId359" display="https://www.tiktok.com/@cacadescontosecupons" xr:uid="{00000000-0004-0000-0200-000066010000}"/>
    <hyperlink ref="C272" r:id="rId360" display="https://www.instagram.com/recomenda360/" xr:uid="{00000000-0004-0000-0200-000067010000}"/>
    <hyperlink ref="E272" r:id="rId361" display="https://www.tiktok.com/@recomenda360" xr:uid="{00000000-0004-0000-0200-000068010000}"/>
    <hyperlink ref="C273" r:id="rId362" display="https://www.instagram.com/luizaphoffmann/" xr:uid="{00000000-0004-0000-0200-000069010000}"/>
    <hyperlink ref="E273" r:id="rId363" display="https://www.tiktok.com/@luizahoffmann2" xr:uid="{00000000-0004-0000-0200-00006A010000}"/>
    <hyperlink ref="C275" r:id="rId364" display="https://www.instagram.com/mso729?igsh=ZG5ycnR4Y3M3NXQ3" xr:uid="{00000000-0004-0000-0200-00006B010000}"/>
    <hyperlink ref="C276" r:id="rId365" display="https://www.instagram.com/dyegofazolli?igsh=ZjM5azBzbm5qaWVi" xr:uid="{00000000-0004-0000-0200-00006C010000}"/>
    <hyperlink ref="C277" r:id="rId366" display="https://www.instagram.com/oreneparaiso/" xr:uid="{00000000-0004-0000-0200-00006D010000}"/>
    <hyperlink ref="E277" r:id="rId367" display="https://www.tiktok.com/@canalreneparaiso" xr:uid="{00000000-0004-0000-0200-00006E010000}"/>
    <hyperlink ref="C278" r:id="rId368" display="https://www.instagram.com/axadinh0?igsh=MXRzN2lnazQ1YzN1cQ%3D%3D&amp;utm_source=qr" xr:uid="{00000000-0004-0000-0200-00006F010000}"/>
    <hyperlink ref="E278" r:id="rId369" display="https://www.tiktok.com/@axadinh0?_t=ZM-8xkPoH3539M&amp;_r=1" xr:uid="{00000000-0004-0000-0200-000070010000}"/>
    <hyperlink ref="C280" r:id="rId370" display="https://www.instagram.com/ricardo.review?igsh=MWZ6ZnZ0bm10aWR1OA==" xr:uid="{00000000-0004-0000-0200-000071010000}"/>
    <hyperlink ref="C282" r:id="rId371" display="https://www.instagram.com/livrosblackfriday/" xr:uid="{00000000-0004-0000-0200-000072010000}"/>
    <hyperlink ref="E282" r:id="rId372" display="https://www.tiktok.com/@livrosblackfriday" xr:uid="{00000000-0004-0000-0200-000073010000}"/>
    <hyperlink ref="C283" r:id="rId373" display="https://www.instagram.com/cacadordepromocoes1?igsh=NmJqY25tNjZscHkz" xr:uid="{00000000-0004-0000-0200-000074010000}"/>
    <hyperlink ref="E283" r:id="rId374" display="https://www.tiktok.com/@cacadordepromocoes?_t=ZM-8yftgF2cHNW&amp;_r=1" xr:uid="{00000000-0004-0000-0200-000075010000}"/>
    <hyperlink ref="C284" r:id="rId375" display="https://www.instagram.com/sejamaiseconomico?igsh=MW11aGN0dHR4Z2N3dQ==" xr:uid="{00000000-0004-0000-0200-000076010000}"/>
    <hyperlink ref="C285" r:id="rId376" display="https://www.instagram.com/tudonpromocoes/" xr:uid="{00000000-0004-0000-0200-000077010000}"/>
    <hyperlink ref="C286" r:id="rId377" display="https://www.instagram.com/debikenamontanha?igsh=NWNsdmYxNmhzcG9s&amp;utm_source=qr" xr:uid="{00000000-0004-0000-0200-000078010000}"/>
    <hyperlink ref="E286" r:id="rId378" display="https://www.tiktok.com/@debikenamontanha?_t=ZM-8yzS2IkYJvE&amp;_r=1" xr:uid="{00000000-0004-0000-0200-000079010000}"/>
    <hyperlink ref="C287" r:id="rId379" display="https://www.instagram.com/home_e_ofertas" xr:uid="{00000000-0004-0000-0200-00007A010000}"/>
    <hyperlink ref="E287" r:id="rId380" display="https://www.tiktok.com/@home_e_ofertas" xr:uid="{00000000-0004-0000-0200-00007B010000}"/>
    <hyperlink ref="C288" r:id="rId381" display="https://www.instagram.com/promosdamilapinheiro" xr:uid="{00000000-0004-0000-0200-00007C010000}"/>
    <hyperlink ref="C289" r:id="rId382" display="https://www.instagram.com/achadosdagabby?igsh=azVzM3V0OWx3NGNh&amp;utm_source=qr" xr:uid="{00000000-0004-0000-0200-00007D010000}"/>
    <hyperlink ref="E289" r:id="rId383" display="https://www.tiktok.com/@achadosdagabby?_t=ZM-8yzLeRffkn7&amp;_r=1" xr:uid="{00000000-0004-0000-0200-00007E010000}"/>
    <hyperlink ref="C291" r:id="rId384" display="https://www.instagram.com/ressaltandoamor/" xr:uid="{00000000-0004-0000-0200-00007F010000}"/>
    <hyperlink ref="C293" r:id="rId385" display="https://www.instagram.com/findpromosoficial" xr:uid="{00000000-0004-0000-0200-000080010000}"/>
    <hyperlink ref="C294" r:id="rId386" display="https://www.instagram.com/melhorescartoesdecredito/" xr:uid="{00000000-0004-0000-0200-000081010000}"/>
    <hyperlink ref="C295" r:id="rId387" display="https://www.instagram.com/caryneerocha?igsh=MXVpYzE5dHRibzRpaA%3D%3D&amp;utm_source=qr" xr:uid="{00000000-0004-0000-0200-000082010000}"/>
    <hyperlink ref="E295" r:id="rId388" display="https://www.tiktok.com/@caryne_rocha?_t=ZM-8xjSbOm7LvE&amp;_r=1" xr:uid="{00000000-0004-0000-0200-000083010000}"/>
    <hyperlink ref="C296" r:id="rId389" display="https://www.youtube.com/@unboxingnalata" xr:uid="{00000000-0004-0000-0200-000084010000}"/>
    <hyperlink ref="C297" r:id="rId390" display="https://www.instagram.com/girouchegouyt/" xr:uid="{00000000-0004-0000-0200-000085010000}"/>
    <hyperlink ref="E297" r:id="rId391" display="https://www.tiktok.com/@girouchegou?lang=pt-BR" xr:uid="{00000000-0004-0000-0200-000086010000}"/>
    <hyperlink ref="C299" r:id="rId392" display="https://www.instagram.com/comoclube/" xr:uid="{00000000-0004-0000-0200-000087010000}"/>
    <hyperlink ref="E299" r:id="rId393" display="https://www.tiktok.com/@comoclubeoficial" xr:uid="{00000000-0004-0000-0200-000088010000}"/>
    <hyperlink ref="C300" r:id="rId394" display="https://www.instagram.com/lordpitta/" xr:uid="{00000000-0004-0000-0200-000089010000}"/>
    <hyperlink ref="E300" r:id="rId395" display="https://www.tiktok.com/@lordpitta" xr:uid="{00000000-0004-0000-0200-00008A010000}"/>
    <hyperlink ref="C301" r:id="rId396" display="https://www.instagram.com/achadonapromo?igsh=MTJsenR1bGEzd2ZnMg==" xr:uid="{00000000-0004-0000-0200-00008B010000}"/>
    <hyperlink ref="E301" r:id="rId397" display="https://www.tiktok.com/@carolinalalencar?_t=ZM-8ydNYRqgUb7&amp;_r=1" xr:uid="{00000000-0004-0000-0200-00008C010000}"/>
    <hyperlink ref="C304" r:id="rId398" display="https://www.instagram.com/achadinhosdi.casa?igsh=M2oxM2g0dnJjbG9t&amp;utm_source=qr" xr:uid="{00000000-0004-0000-0200-00008D010000}"/>
    <hyperlink ref="C305" r:id="rId399" display="https://www.instagram.com/promo.lets/" xr:uid="{00000000-0004-0000-0200-00008E010000}"/>
    <hyperlink ref="E305" r:id="rId400" display="https://www.tiktok.com/@promolets" xr:uid="{00000000-0004-0000-0200-00008F010000}"/>
    <hyperlink ref="C306" r:id="rId401" display="https://www.instagram.com/bugadao.com.br/" xr:uid="{00000000-0004-0000-0200-000090010000}"/>
    <hyperlink ref="E306" r:id="rId402" display="https://www.tiktok.com/@bugadao.com.br" xr:uid="{00000000-0004-0000-0200-000091010000}"/>
    <hyperlink ref="C307" r:id="rId403" display="https://www.instagram.com/promoatleta/" xr:uid="{00000000-0004-0000-0200-000092010000}"/>
    <hyperlink ref="C308" r:id="rId404" display="https://www.instagram.com/omundodepromos" xr:uid="{00000000-0004-0000-0200-000093010000}"/>
    <hyperlink ref="E308" r:id="rId405" display="https://www.tiktok.com/@omundodepromos?_t=ZM-8xfxdGfZpBA&amp;_r=1" xr:uid="{00000000-0004-0000-0200-000094010000}"/>
    <hyperlink ref="C309" r:id="rId406" display="https://www.instagram.com/almaderica_?igsh=NHl1c3RrYXFjaTdp&amp;utm_source=qr" xr:uid="{00000000-0004-0000-0200-000095010000}"/>
    <hyperlink ref="E309" r:id="rId407" display="https://www.tiktok.com/@almaderica?_t=ZM-8xfx2kLy41w&amp;_r=1" xr:uid="{00000000-0004-0000-0200-000096010000}"/>
    <hyperlink ref="C310" r:id="rId408" display="https://www.instagram.com/promodocasal" xr:uid="{00000000-0004-0000-0200-000097010000}"/>
    <hyperlink ref="E310" r:id="rId409" display="https://www.tiktok.com/@promodocasal" xr:uid="{00000000-0004-0000-0200-000098010000}"/>
    <hyperlink ref="C311" r:id="rId410" display="https://www.instagram.com/outletdaspromocoess" xr:uid="{00000000-0004-0000-0200-000099010000}"/>
    <hyperlink ref="E311" r:id="rId411" display="https://www.tiktok.com/@outletdaspromocoess" xr:uid="{00000000-0004-0000-0200-00009A010000}"/>
    <hyperlink ref="C312" r:id="rId412" display="https://www.instagram.com/especialistautilitario/" xr:uid="{00000000-0004-0000-0200-00009B010000}"/>
    <hyperlink ref="E312" r:id="rId413" display="https://www.tiktok.com/@especialistautililitario" xr:uid="{00000000-0004-0000-0200-00009C010000}"/>
    <hyperlink ref="C313" r:id="rId414" display="https://www.instagram.com/tiemichino/" xr:uid="{00000000-0004-0000-0200-00009D010000}"/>
    <hyperlink ref="C314" r:id="rId415" display="https://www.instagram.com/achadosencantoelar?igsh=MXY3eWhvYW5lNGlqdg%3D%3D&amp;utm_source=qr" xr:uid="{00000000-0004-0000-0200-00009E010000}"/>
    <hyperlink ref="C316" r:id="rId416" display="https://www.instagram.com/ramonmantesso" xr:uid="{00000000-0004-0000-0200-00009F010000}"/>
    <hyperlink ref="C317" r:id="rId417" display="https://www.instagram.com/gbctec/" xr:uid="{00000000-0004-0000-0200-0000A0010000}"/>
    <hyperlink ref="E317" r:id="rId418" display="https://www.tiktok.com/@gbctec?lang=pt-BR" xr:uid="{00000000-0004-0000-0200-0000A1010000}"/>
    <hyperlink ref="C319" r:id="rId419" display="https://www.instagram.com.br/lenosanches_" xr:uid="{00000000-0004-0000-0200-0000A2010000}"/>
    <hyperlink ref="E319" r:id="rId420" display="https://www.tiktok.com/@lenosanches_" xr:uid="{00000000-0004-0000-0200-0000A3010000}"/>
    <hyperlink ref="C320" r:id="rId421" display="https://www.instagram.com/blackofertasdodia?igsh=N2RiNGEwZXBvcHRt&amp;utm_source=qr" xr:uid="{00000000-0004-0000-0200-0000A4010000}"/>
    <hyperlink ref="C321" r:id="rId422" display="https://www.instagram.com/brasilencontreiachados?igsh=ZHdpNjN1OWVyajVr&amp;utm_source=qr" xr:uid="{00000000-0004-0000-0200-0000A5010000}"/>
    <hyperlink ref="E321" r:id="rId423" display="https://www.tiktok.com/@brasilencontreiachados?_t=ZM-8ygpsfgb1m9&amp;_r=1" xr:uid="{00000000-0004-0000-0200-0000A6010000}"/>
    <hyperlink ref="C322" r:id="rId424" display="https://www.instagram.com/promoscombruna" xr:uid="{00000000-0004-0000-0200-0000A7010000}"/>
    <hyperlink ref="E322" r:id="rId425" display="https://www.tiktok.com/@bru.andradi?_t=ZM-8yzM6YBzcYf&amp;_r=1" xr:uid="{00000000-0004-0000-0200-0000A8010000}"/>
    <hyperlink ref="C323" r:id="rId426" display="https://www.instagram.com/deborahlaines?igsh=MW4wZ3RlNDBwMXl6dA==" xr:uid="{00000000-0004-0000-0200-0000A9010000}"/>
    <hyperlink ref="C324" r:id="rId427" display="https://www.instagram.com/achadinhosgarantido?igsh=ZGZlaHNjdjdlODMw" xr:uid="{00000000-0004-0000-0200-0000AA010000}"/>
    <hyperlink ref="E324" r:id="rId428" display="https://www.tiktok.com/@achadinhosgarantido?_t=ZM-8xg1XNsx3ma&amp;_r=1" xr:uid="{00000000-0004-0000-0200-0000AB010000}"/>
    <hyperlink ref="C325" r:id="rId429" display="https://www.instagram.com/betechers/" xr:uid="{00000000-0004-0000-0200-0000AC010000}"/>
    <hyperlink ref="E325" r:id="rId430" display="https://www.tiktok.com/@betechers" xr:uid="{00000000-0004-0000-0200-0000AD010000}"/>
    <hyperlink ref="C326" r:id="rId431" display="https://www.instagram.com/link7erick/profilecard/?igsh=MXV5amt5dHlwbHIydQ==" xr:uid="{00000000-0004-0000-0200-0000AE010000}"/>
    <hyperlink ref="E326" r:id="rId432" display="https://www.tiktok.com/@erick7link?_t=ZM-8ydNo7b0EYX&amp;_r=1" xr:uid="{00000000-0004-0000-0200-0000AF010000}"/>
    <hyperlink ref="C327" r:id="rId433" display="https://www.instagram.com/ale.slodi/" xr:uid="{00000000-0004-0000-0200-0000B0010000}"/>
    <hyperlink ref="C328" r:id="rId434" display="https://www.instagram.com/girlsbugs?utm_source=qr" xr:uid="{00000000-0004-0000-0200-0000B1010000}"/>
    <hyperlink ref="E328" r:id="rId435" display="https://www.tiktok.com/@girlsbugs?_t=ZM-8xhwZTmVOVk&amp;_r=1" xr:uid="{00000000-0004-0000-0200-0000B2010000}"/>
    <hyperlink ref="C329" r:id="rId436" display="https://www.instagram.com/desconto.legal_" xr:uid="{00000000-0004-0000-0200-0000B3010000}"/>
    <hyperlink ref="C331" r:id="rId437" display="https://www.instagram.com/promosdobita/" xr:uid="{00000000-0004-0000-0200-0000B4010000}"/>
    <hyperlink ref="C334" r:id="rId438" display="http://www.instagram.com/pronobkids_" xr:uid="{00000000-0004-0000-0200-0000B5010000}"/>
    <hyperlink ref="C335" r:id="rId439" display="https://www.instagram.com/eusoumayssa?igsh=ZmU2czRkdXo1NHdu&amp;utm_source=qr" xr:uid="{00000000-0004-0000-0200-0000B6010000}"/>
    <hyperlink ref="E335" r:id="rId440" display="https://www.tiktok.com/@eusoumayssa?_t=ZM-8yfNqUj2O0c&amp;_r=1" xr:uid="{00000000-0004-0000-0200-0000B7010000}"/>
    <hyperlink ref="C337" r:id="rId441" display="https://www.instagram.com/loucaspromocoes/" xr:uid="{00000000-0004-0000-0200-0000B8010000}"/>
    <hyperlink ref="C338" r:id="rId442" display="https://www.instagram.com/guisouzabb?igsh=a3czcmZoemtoN2E%3D&amp;utm_source=qr" xr:uid="{00000000-0004-0000-0200-0000B9010000}"/>
    <hyperlink ref="E338" r:id="rId443" display="https://www.tiktok.com/@gldabxd?_t=ZM-90FHWzHPGuK&amp;_r=1" xr:uid="{00000000-0004-0000-0200-0000BA010000}"/>
    <hyperlink ref="C339" r:id="rId444" display="https://www.instagram.com/ratadosachados?igsh=cDhnOW40MWZ2Y2g%3D&amp;utm_source=qr" xr:uid="{00000000-0004-0000-0200-0000BB010000}"/>
    <hyperlink ref="E339" r:id="rId445" display="https://www.tiktok.com/@ratadosachados?_t=ZM-8xkQWcdOhAm&amp;_r=1" xr:uid="{00000000-0004-0000-0200-0000BC010000}"/>
    <hyperlink ref="C340" r:id="rId446" display="https://www.instagram.com/srpromofertas" xr:uid="{00000000-0004-0000-0200-0000BD010000}"/>
    <hyperlink ref="C341" r:id="rId447" display="https://www.instagram.com/canaljms" xr:uid="{00000000-0004-0000-0200-0000BE010000}"/>
    <hyperlink ref="E341" r:id="rId448" display="https://www.tiktok.com/canaljms" xr:uid="{00000000-0004-0000-0200-0000BF010000}"/>
    <hyperlink ref="C342" r:id="rId449" display="https://www.instagram.com/baratinhosimperdiveis?igsh=MWZld2lxMzM0cng3bw%3D%3D&amp;utm_source=qr" xr:uid="{00000000-0004-0000-0200-0000C0010000}"/>
    <hyperlink ref="E342" r:id="rId450" display="https://www.tiktok.com/@achadosdanay.br?_t=ZM-8z92u3m73FY&amp;_r=1" xr:uid="{00000000-0004-0000-0200-0000C1010000}"/>
    <hyperlink ref="C343" r:id="rId451" display="https://www.instagram.com/achadinhosdegarotasoficial?igsh=MTFnNjM3dWFhc2FhcQ=" xr:uid="{00000000-0004-0000-0200-0000C2010000}"/>
    <hyperlink ref="E343" r:id="rId452" display="https://www.tiktok.com/@alinesouza.cs?_t=ZM-8xhjpMfc3TJ&amp;_r=1" xr:uid="{00000000-0004-0000-0200-0000C3010000}"/>
    <hyperlink ref="C344" r:id="rId453" display="https://www.instagram.com/promobabyoficial" xr:uid="{00000000-0004-0000-0200-0000C4010000}"/>
    <hyperlink ref="C345" r:id="rId454" display="https://www.instagram.com/glpromocoes_?igsh=MWUyNWRvdnJuMmdnOA==" xr:uid="{00000000-0004-0000-0200-0000C5010000}"/>
    <hyperlink ref="C347" r:id="rId455" display="https://www.instagram.com/garotasdaspromo/" xr:uid="{00000000-0004-0000-0200-0000C6010000}"/>
    <hyperlink ref="E347" r:id="rId456" display="https://www.tiktok.com/@lariiimarqs?_t=ZM-8ydNum5sJyH&amp;_r=1" xr:uid="{00000000-0004-0000-0200-0000C7010000}"/>
    <hyperlink ref="C351" r:id="rId457" display="https://www.instagram.com/achadinhos.enxovalbebeemamae?igsh=MWZyeGQ2dHg1M2M4dg%3D%3D&amp;utm_source=qr" xr:uid="{00000000-0004-0000-0200-0000C8010000}"/>
    <hyperlink ref="C352" r:id="rId458" display="https://www.youtube.com/@ReviewsCurtinhas" xr:uid="{00000000-0004-0000-0200-0000C9010000}"/>
    <hyperlink ref="E352" r:id="rId459" display="https://www.tiktok.com/@reviewscurtinhas" xr:uid="{00000000-0004-0000-0200-0000CA010000}"/>
    <hyperlink ref="C353" r:id="rId460" display="https://www.instagram.com/achadinhodeverdade?igsh=MXBnamo2aG9lOW9yOQ==" xr:uid="{00000000-0004-0000-0200-0000CB010000}"/>
    <hyperlink ref="E353" r:id="rId461" display="https://www.tiktok.com/@achadinhodeverdade?_t=ZM-8xjGOhaozeH&amp;_r=1" xr:uid="{00000000-0004-0000-0200-0000CC010000}"/>
    <hyperlink ref="C354" r:id="rId462" display="https://www.instagram.com/brdescontao/" xr:uid="{00000000-0004-0000-0200-0000CD010000}"/>
    <hyperlink ref="E354" r:id="rId463" display="https://www.tiktok.com/@br_descontao" xr:uid="{00000000-0004-0000-0200-0000CE010000}"/>
    <hyperlink ref="C355" r:id="rId464" display="https://www.instagram.com/promocao_kids_brasil?igsh=dnp2ZGdxY2MwaHRk" xr:uid="{00000000-0004-0000-0200-0000CF010000}"/>
    <hyperlink ref="C356" r:id="rId465" display="https://www.instagram.com/loucaspromocoes/" xr:uid="{00000000-0004-0000-0200-0000D0010000}"/>
    <hyperlink ref="C357" r:id="rId466" display="https://www.instagram.com/ky.ster1?igsh=MTl1YmxkNDV0enhqaA==" xr:uid="{00000000-0004-0000-0200-0000D1010000}"/>
    <hyperlink ref="E357" r:id="rId467" display="https://www.tiktok.com/@achadinhos_loversdicas?_t=ZM-8xfx1uNhFTU&amp;_r=1" xr:uid="{00000000-0004-0000-0200-0000D2010000}"/>
    <hyperlink ref="C359" r:id="rId468" display="https://www.instagram.com/promoshow33?igsh=aTdxdGcyM3hqMTU3" xr:uid="{00000000-0004-0000-0200-0000D3010000}"/>
    <hyperlink ref="C360" r:id="rId469" display="https://www.instagram.com/cariocapromocoes" xr:uid="{00000000-0004-0000-0200-0000D4010000}"/>
    <hyperlink ref="E360" r:id="rId470" display="https://www.tiktok.com/@carioca.tech" xr:uid="{00000000-0004-0000-0200-0000D5010000}"/>
    <hyperlink ref="C361" r:id="rId471" display="https://www.instagram.com/umamaedentista_?igsh=MXdyZXdmM3VzbDd4cA==" xr:uid="{00000000-0004-0000-0200-0000D6010000}"/>
    <hyperlink ref="E361" r:id="rId472" display="https://www.tiktok.com/@stela.nunes4?_t=ZM-8ygkqsmkROi&amp;_r=1" xr:uid="{00000000-0004-0000-0200-0000D7010000}"/>
    <hyperlink ref="C362" r:id="rId473" display="https://www.facebook.com/share/g/1AvFpiL86T/?mibextid=wwXIfr" xr:uid="{00000000-0004-0000-0200-0000D8010000}"/>
    <hyperlink ref="C363" r:id="rId474" display="https://www.instagram.com/outlanderpescaesportiva?igsh=YTFhM203MnIydDFi&amp;utm_source=qr" xr:uid="{00000000-0004-0000-0200-0000D9010000}"/>
    <hyperlink ref="C364" r:id="rId475" display="https://www.instagram.com/achadoospromo?igsh=ZHF2bm0xMWRzcGcz&amp;utm_source=qr" xr:uid="{00000000-0004-0000-0200-0000DA010000}"/>
    <hyperlink ref="E364" r:id="rId476" display="https://www.tiktok.com/@karinacepellos?_t=ZM-8ydP3zUXpyv&amp;_r=1" xr:uid="{00000000-0004-0000-0200-0000DB010000}"/>
    <hyperlink ref="C365" r:id="rId477" display="https://www.instagram.com/garagemdoinventor/" xr:uid="{00000000-0004-0000-0200-0000DC010000}"/>
    <hyperlink ref="E365" r:id="rId478" display="https://www.tiktok.com/@garagemdoinventor" xr:uid="{00000000-0004-0000-0200-0000DD010000}"/>
    <hyperlink ref="C366" r:id="rId479" display="https://www.instagram.com/spacebikeoficial?igsh=NDI2aWNxYXdqeWht&amp;utm_source=qr" xr:uid="{00000000-0004-0000-0200-0000DE010000}"/>
    <hyperlink ref="E366" r:id="rId480" display="https://www.tiktok.com/@spacebikeoficial?_t=ZM-8ydVpGhYWNK&amp;_r=1" xr:uid="{00000000-0004-0000-0200-0000DF010000}"/>
    <hyperlink ref="C367" r:id="rId481" display="https://www.instagram.com/tatianebnunes?igsh=d2F4MWY2NWsyaDhn454" xr:uid="{00000000-0004-0000-0200-0000E0010000}"/>
    <hyperlink ref="C368" r:id="rId482" display="https://www.instagram.com/descontofamiliaoficial/" xr:uid="{00000000-0004-0000-0200-0000E1010000}"/>
    <hyperlink ref="C369" r:id="rId483" display="https://www.instagram.com/gu.gdn?igsh=MTVzbnIxMHZqamgzeA==" xr:uid="{00000000-0004-0000-0200-0000E2010000}"/>
    <hyperlink ref="C370" r:id="rId484" display="https://www.instagram.com/rainhadobugueepromos/" xr:uid="{00000000-0004-0000-0200-0000E3010000}"/>
    <hyperlink ref="E370" r:id="rId485" display="https://www.tiktok.com/@owaguim" xr:uid="{00000000-0004-0000-0200-0000E4010000}"/>
    <hyperlink ref="C371" r:id="rId486" display="https://www.instagram.com/elly.indica" xr:uid="{00000000-0004-0000-0200-0000E5010000}"/>
    <hyperlink ref="C372" r:id="rId487" display="https://instagram.com/descontador" xr:uid="{00000000-0004-0000-0200-0000E6010000}"/>
    <hyperlink ref="E372" r:id="rId488" display="https://tiktok.com/grupodescontador" xr:uid="{00000000-0004-0000-0200-0000E7010000}"/>
    <hyperlink ref="C373" r:id="rId489" display="https://www.instagram.com/crowmantech/" xr:uid="{00000000-0004-0000-0200-0000E8010000}"/>
    <hyperlink ref="E373" r:id="rId490" display="https://www.tiktok.com/@crowmantech" xr:uid="{00000000-0004-0000-0200-0000E9010000}"/>
    <hyperlink ref="C376" r:id="rId491" display="https://www.instagram.com/promosporflavia?" xr:uid="{00000000-0004-0000-0200-0000EA010000}"/>
    <hyperlink ref="C377" r:id="rId492" display="https://www.instagram.com/juaocupons/" xr:uid="{00000000-0004-0000-0200-0000EB010000}"/>
    <hyperlink ref="C378" r:id="rId493" display="https://www.instagram.com/promos_manubelu?igsh=Y3J6OGNmOGRvYnB0" xr:uid="{00000000-0004-0000-0200-0000EC010000}"/>
    <hyperlink ref="C379" r:id="rId494" display="https://www.instagram.com/achadinhosdapromoo?igsh=MTJmbGxpaDBlMzkwNw%3D%3D&amp;utm_source=qr" xr:uid="{00000000-0004-0000-0200-0000ED010000}"/>
    <hyperlink ref="C380" r:id="rId495" display="https://www.instagram.com/caceieachei?igsh=cGNpOG94eGpyemdk&amp;utm_source=qr" xr:uid="{00000000-0004-0000-0200-0000EE010000}"/>
    <hyperlink ref="E380" r:id="rId496" display="https://www.tiktok.com/@caceieacheipromos?_t=ZM-8ydScparcNZ&amp;_r=1" xr:uid="{00000000-0004-0000-0200-0000EF010000}"/>
    <hyperlink ref="C381" r:id="rId497" display="https://www.instagram.com/tamyachadoss" xr:uid="{00000000-0004-0000-0200-0000F0010000}"/>
    <hyperlink ref="C382" r:id="rId498" display="https://www.instagram.com/monedeira/" xr:uid="{00000000-0004-0000-0200-0000F1010000}"/>
    <hyperlink ref="C383" r:id="rId499" display="https://www.instagram.com/_larissasntana?igsh=d3NqaDc1aTgzdGk=" xr:uid="{00000000-0004-0000-0200-0000F2010000}"/>
    <hyperlink ref="E383" r:id="rId500" display="https://www.tiktok.com/@_larissasntana?_t=ZM-8xgiQ5VijXM&amp;_r=1" xr:uid="{00000000-0004-0000-0200-0000F3010000}"/>
    <hyperlink ref="C384" r:id="rId501" display="https://perfil.em.reavaliacao/" xr:uid="{00000000-0004-0000-0200-0000F4010000}"/>
    <hyperlink ref="E384" r:id="rId502" display="https://www.tiktok.com/@eu.marcosoliveira" xr:uid="{00000000-0004-0000-0200-0000F5010000}"/>
    <hyperlink ref="C385" r:id="rId503" display="https://www.instagram.com/maxhobby_modelismo/" xr:uid="{00000000-0004-0000-0200-0000F6010000}"/>
    <hyperlink ref="E385" r:id="rId504" display="https://www.instagram.com/maxhobby_modelismo/" xr:uid="{00000000-0004-0000-0200-0000F7010000}"/>
    <hyperlink ref="C386" r:id="rId505" display="http://www.instagram.com/promodamilla" xr:uid="{00000000-0004-0000-0200-0000F8010000}"/>
    <hyperlink ref="E386" r:id="rId506" display="https://www.tiktok.com/@promodamilla?_t=ZM-8ydNRLJXrtN&amp;_r=1" xr:uid="{00000000-0004-0000-0200-0000F9010000}"/>
    <hyperlink ref="C387" r:id="rId507" display="https://www.instagram.com/achadinhos4you?igsh=MTZjcmx4ZXp3OWc2OA%3D%3D&amp;utm_source=qr" xr:uid="{00000000-0004-0000-0200-0000FA010000}"/>
    <hyperlink ref="C388" r:id="rId508" display="https://www.instagram.com/promoscjessi?igsh=YW5lZDhsd3l4c3Vu" xr:uid="{00000000-0004-0000-0200-0000FB010000}"/>
    <hyperlink ref="C389" r:id="rId509" display="https://www.instagram.com/danielsonnora/" xr:uid="{00000000-0004-0000-0200-0000FC010000}"/>
    <hyperlink ref="C394" r:id="rId510" display="https://www.instagram.com.br/julianefrois" xr:uid="{00000000-0004-0000-0200-0000FD010000}"/>
    <hyperlink ref="E394" r:id="rId511" display="https://www.tiktok.com/@julianefrois?_t=ZM-8yzOOO2CKHA&amp;_r=1" xr:uid="{00000000-0004-0000-0200-0000FE010000}"/>
    <hyperlink ref="C395" r:id="rId512" display="https://www.instagram.com/mildicasdamay?igsh=MXNwZjI4c3k1bXB0OQ%3D%3D&amp;utm_source=qr" xr:uid="{00000000-0004-0000-0200-0000FF010000}"/>
    <hyperlink ref="E395" r:id="rId513" display="https://www.tiktok.com/@mildicasdamay?_t=ZM-8yzLwq7xvwm&amp;_r=1" xr:uid="{00000000-0004-0000-0200-000000020000}"/>
    <hyperlink ref="C396" r:id="rId514" display="https://www.instagram.com/karenetoboer/" xr:uid="{00000000-0004-0000-0200-000001020000}"/>
    <hyperlink ref="C398" r:id="rId515" display="https://www.instagram.com/promosdaligia" xr:uid="{00000000-0004-0000-0200-000002020000}"/>
    <hyperlink ref="E398" r:id="rId516" display="https://www.tiktok.com/@promosdaligia" xr:uid="{00000000-0004-0000-0200-000003020000}"/>
    <hyperlink ref="C399" r:id="rId517" display="http://instagram.com/diquinhsasgirl" xr:uid="{00000000-0004-0000-0200-000004020000}"/>
    <hyperlink ref="E399" r:id="rId518" display="https://www.tiktok.com/@girldiquinhas?_t=ZM-8yzM3BcETkT&amp;_r=1" xr:uid="{00000000-0004-0000-0200-000005020000}"/>
    <hyperlink ref="C400" r:id="rId519" display="https://www.instagram.com/dailyliviabarros?igsh=MWxsbmJydGRwY2ZmMg%3D%3D&amp;utm_source=qr" xr:uid="{00000000-0004-0000-0200-000006020000}"/>
    <hyperlink ref="E400" r:id="rId520" display="https://www.tiktok.com/@beautyporlivia?_t=ZM-8xgEqwlNIWu&amp;_r=1" xr:uid="{00000000-0004-0000-0200-000007020000}"/>
    <hyperlink ref="C401" r:id="rId521" display="https://www.instagram.com/minadaspaty?igsh=MWxqYWM0M3RyNW9ybg%3D%3D&amp;utm_source=qr" xr:uid="{00000000-0004-0000-0200-000008020000}"/>
    <hyperlink ref="E401" r:id="rId522" display="https://www.tiktok.com/@minadagabii?_t=ZM-8xhsb8jJt2r&amp;_r=1" xr:uid="{00000000-0004-0000-0200-000009020000}"/>
    <hyperlink ref="C402" r:id="rId523" display="https://www.instagram.com/maravilhadepromos?igsh=MXVmeWxvYTBwdW5wbQ==" xr:uid="{00000000-0004-0000-0200-00000A020000}"/>
    <hyperlink ref="C404" r:id="rId524" display="https://www.instagram.com/joaogomeseu" xr:uid="{00000000-0004-0000-0200-00000B020000}"/>
    <hyperlink ref="E404" r:id="rId525" display="https://www.tiktok.com/@joaogomeseu" xr:uid="{00000000-0004-0000-0200-00000C020000}"/>
    <hyperlink ref="C405" r:id="rId526" display="https://www.instagram.com/detectaofertas/" xr:uid="{00000000-0004-0000-0200-00000D020000}"/>
    <hyperlink ref="C407" r:id="rId527" display="https://www.instagram.com/denissonreal?igsh=MXJhOXI1ZjAycTNmaA%3D%3D&amp;utm_source=qr" xr:uid="{00000000-0004-0000-0200-00000E020000}"/>
    <hyperlink ref="E407" r:id="rId528" display="https://www.tiktok.com/@denissonnn?_t=ZM-8yzpezcqX7m&amp;_r=1" xr:uid="{00000000-0004-0000-0200-00000F020000}"/>
    <hyperlink ref="C408" r:id="rId529" display="https://www.instagram.com/diariopotterhead_?igsh=MWh6eGRqam4wbHFqdg==" xr:uid="{00000000-0004-0000-0200-000010020000}"/>
    <hyperlink ref="E408" r:id="rId530" display="https://www.tiktok.com/@diariopotterhead?_t=ZM-8ydNw2uPBDx&amp;_r=1" xr:uid="{00000000-0004-0000-0200-000011020000}"/>
    <hyperlink ref="C410" r:id="rId531" display="https://www.instagram.com/enxovaldagi?igsh=MWRlMmM4OGl2ZjF2eQ%3D%3D&amp;utm_source=qr" xr:uid="{00000000-0004-0000-0200-000012020000}"/>
    <hyperlink ref="E410" r:id="rId532" display="https://www.tiktok.com/@enxovalldagi?_t=ZM-90Q0j1FVlpA&amp;_r=1" xr:uid="{00000000-0004-0000-0200-000013020000}"/>
    <hyperlink ref="C411" r:id="rId533" display="https://www.instagram.com/seusachadosonline?igsh=N252dThweGNpamd2&amp;utm_source=qr" xr:uid="{00000000-0004-0000-0200-000014020000}"/>
    <hyperlink ref="E411" r:id="rId534" display="https://www.tiktok.com/@achadosonnline?_t=ZM-8xhsyJXxdhd&amp;_r=1" xr:uid="{00000000-0004-0000-0200-000015020000}"/>
    <hyperlink ref="C412" r:id="rId535" display="https://www.instagram.com/pamferreira.matos?igsh=MWdxbGQzam1pOTN4OA%3D%3D&amp;utm_source=qr" xr:uid="{00000000-0004-0000-0200-000016020000}"/>
    <hyperlink ref="E412" r:id="rId536" display="https://www.tiktok.com/@pamferreira.makeup?_t=ZM-8yzLwuX0oLO&amp;_r=1" xr:uid="{00000000-0004-0000-0200-000017020000}"/>
    <hyperlink ref="C414" r:id="rId537" display="https://www.instagram.com/lorrainessan/" xr:uid="{00000000-0004-0000-0200-000018020000}"/>
    <hyperlink ref="C415" r:id="rId538" display="http://instagram.com/caramelopromos" xr:uid="{00000000-0004-0000-0200-000019020000}"/>
    <hyperlink ref="C416" r:id="rId539" display="https://www.instagram.com/ipromosvip" xr:uid="{00000000-0004-0000-0200-00001A020000}"/>
    <hyperlink ref="C418" r:id="rId540" display="https://www.instagram.com/ofertas_infantil/" xr:uid="{00000000-0004-0000-0200-00001B020000}"/>
    <hyperlink ref="C419" r:id="rId541" display="https://www.instagram.com/promocoesuteiss?igsh=MXA5dGlqcWowZXY0Nw%3D%3D&amp;utm_source=qr" xr:uid="{00000000-0004-0000-0200-00001C020000}"/>
    <hyperlink ref="E419" r:id="rId542" display="https://www.tiktok.com/@lilianalves8719?_t=ZM-8yzLnsUhoVp&amp;_r=1" xr:uid="{00000000-0004-0000-0200-00001D020000}"/>
    <hyperlink ref="C421" r:id="rId543" display="https://www.instagram.com/cantinhodasmanicuresofc?igsh=MTd5bGYxNGhlMXNhMQ==" xr:uid="{00000000-0004-0000-0200-00001E020000}"/>
    <hyperlink ref="C425" r:id="rId544" display="https://www.instagram.com/diego1.rodrigues?igsh=MTB5d2Z3cDJpMHZ5dw==" xr:uid="{00000000-0004-0000-0200-00001F020000}"/>
    <hyperlink ref="C426" r:id="rId545" display="https://www.instagram.com/mamaesbaianas" xr:uid="{00000000-0004-0000-0200-000020020000}"/>
    <hyperlink ref="C427" r:id="rId546" display="https://www.instagram.com/uindistore?igsh=MXR0MGR6eXVyZXhm" xr:uid="{00000000-0004-0000-0200-000021020000}"/>
    <hyperlink ref="C428" r:id="rId547" display="https://www.instagram.com/dicasdacoutinho?igsh=MWtocGkxb28yOHltZw%3D%3D&amp;utm_source=qr" xr:uid="{00000000-0004-0000-0200-000022020000}"/>
    <hyperlink ref="E428" r:id="rId548" display="https://www.tiktok.com/@dicasdacoutinhoo?_t=ZM-8yzLz9ytkdp&amp;_r=1" xr:uid="{00000000-0004-0000-0200-000023020000}"/>
    <hyperlink ref="C429" r:id="rId549" display="https://www.instagram.com/eupreciso.achadinhos" xr:uid="{00000000-0004-0000-0200-000024020000}"/>
    <hyperlink ref="E429" r:id="rId550" display="https://www.tiktok.com/@eupreciso.achadinhos" xr:uid="{00000000-0004-0000-0200-000025020000}"/>
    <hyperlink ref="C432" r:id="rId551" display="https://www.instagram.com/maxwilliam.oficial?igsh=MWluN3dldTIyNjVjYQ==" xr:uid="{00000000-0004-0000-0200-000026020000}"/>
    <hyperlink ref="C433" r:id="rId552" display="https://www.instagram.com/laisfrojoni" xr:uid="{00000000-0004-0000-0200-000027020000}"/>
    <hyperlink ref="C434" r:id="rId553" display="https://www.instagram.com/dicasdadanu?igsh=cWIwZmE4cmdjY3V0&amp;utm_source=qr" xr:uid="{00000000-0004-0000-0200-000028020000}"/>
    <hyperlink ref="E434" r:id="rId554" display="https://www.tiktok.com/@dicasdadanu?_t=ZM-8ygp8t9YqPw&amp;_r=1" xr:uid="{00000000-0004-0000-0200-000029020000}"/>
    <hyperlink ref="C435" r:id="rId555" display="https://www.youtube.com/@AnaliseIncrivel" xr:uid="{00000000-0004-0000-0200-00002A020000}"/>
    <hyperlink ref="E436" r:id="rId556" display="https://www.tiktok.com/@eulindabellaindica" xr:uid="{00000000-0004-0000-0200-00002B020000}"/>
    <hyperlink ref="C437" r:id="rId557" display="https://www.instagram.com/elizabethlins.br?igsh=MXhmbXgzbXFvdHI2Mg%3D%3D&amp;utm_source=qr" xr:uid="{00000000-0004-0000-0200-00002C020000}"/>
    <hyperlink ref="E437" r:id="rId558" display="https://www.tiktok.com/@elizabethlins.br?_t=ZM-8yzfIY0Y9l2&amp;_r=1" xr:uid="{00000000-0004-0000-0200-00002D020000}"/>
    <hyperlink ref="C439" r:id="rId559" display="http://www.instagram.com/guiaproduto" xr:uid="{00000000-0004-0000-0200-00002E020000}"/>
    <hyperlink ref="C440" r:id="rId560" display="https://www.instagram.com/vinialbergoni/profilecard/?igsh=NHB0am5mMG96NXVu" xr:uid="{00000000-0004-0000-0200-00002F020000}"/>
    <hyperlink ref="E440" r:id="rId561" display="https://www.tiktok.com/@viniciusalbergoni?_t=ZM-8xh1Qf2Do2f&amp;_r=1" xr:uid="{00000000-0004-0000-0200-000030020000}"/>
    <hyperlink ref="C441" r:id="rId562" display="https://www.instagram.com/rafaelazagarelli?" xr:uid="{00000000-0004-0000-0200-000031020000}"/>
    <hyperlink ref="E441" r:id="rId563" display="https://www.tiktok.com/@zagabeauty?" xr:uid="{00000000-0004-0000-0200-000032020000}"/>
    <hyperlink ref="C442" r:id="rId564" display="http://instagram.com/passageirodequinta" xr:uid="{00000000-0004-0000-0200-000033020000}"/>
    <hyperlink ref="E442" r:id="rId565" display="http://tiktok.com/" xr:uid="{00000000-0004-0000-0200-000034020000}"/>
    <hyperlink ref="C443" r:id="rId566" display="https://www.instagram.com/comprasdapaty_?igsh=c3lrdzU2NXkzMmxl&amp;utm_source=qr" xr:uid="{00000000-0004-0000-0200-000035020000}"/>
    <hyperlink ref="E443" r:id="rId567" display="https://www.tiktok.com/@coisasdepatyy_?_t=ZM-8xiuZb5nAvd&amp;_r=1" xr:uid="{00000000-0004-0000-0200-000036020000}"/>
    <hyperlink ref="C444" r:id="rId568" display="https://www.instagram.com/gabymachadoatelie" xr:uid="{00000000-0004-0000-0200-000037020000}"/>
    <hyperlink ref="C446" r:id="rId569" display="https://www.instagram.com/silverofertasofc/" xr:uid="{00000000-0004-0000-0200-000038020000}"/>
    <hyperlink ref="E446" r:id="rId570" display="https://www.tiktok.com/@silverofertasofc" xr:uid="{00000000-0004-0000-0200-000039020000}"/>
    <hyperlink ref="C447" r:id="rId571" display="https://www.instagram.com/raabeluz/" xr:uid="{00000000-0004-0000-0200-00003A020000}"/>
    <hyperlink ref="C448" r:id="rId572" display="https://www.instagram.com/metodoitnp" xr:uid="{00000000-0004-0000-0200-00003B020000}"/>
    <hyperlink ref="E448" r:id="rId573" display="https://www.tiktok.com/@metodoitnp?is_from_webapp=1&amp;sender_device=pc" xr:uid="{00000000-0004-0000-0200-00003C020000}"/>
    <hyperlink ref="C449" r:id="rId574" display="https://www.instagram.com/promocaoweb26?igsh=MTFlYzdxaHYwb2kxYw%3D%3D&amp;utm_source=qr" xr:uid="{00000000-0004-0000-0200-00003D020000}"/>
    <hyperlink ref="E449" r:id="rId575" display="https://www.tiktok.com/@promocaonaweb26?_t=ZN-90FFpwn6PBe&amp;_r=1" xr:uid="{00000000-0004-0000-0200-00003E020000}"/>
    <hyperlink ref="C451" r:id="rId576" display="https://www.instagram.com/dicadeamiga.a?igsh=MWRsZ2Z6d3F0ZnVpNQ%3D%3D&amp;utm_source=qr" xr:uid="{00000000-0004-0000-0200-00003F020000}"/>
    <hyperlink ref="C453" r:id="rId577" display="http://instagram.com/descontosdogah" xr:uid="{00000000-0004-0000-0200-000040020000}"/>
    <hyperlink ref="C454" r:id="rId578" display="https://www.instagram.com/jp_chavesz?igsh=cG1ldnJ1dGk5NW42&amp;utm_source=qr" xr:uid="{00000000-0004-0000-0200-000041020000}"/>
    <hyperlink ref="C457" r:id="rId579" display="http://instagram.com/deolhonoslinks" xr:uid="{00000000-0004-0000-0200-000042020000}"/>
    <hyperlink ref="E457" r:id="rId580" display="http://tiktok.com/deolhonoslinks" xr:uid="{00000000-0004-0000-0200-000043020000}"/>
    <hyperlink ref="C459" r:id="rId581" display="https://www.instagram.com/viciadas.em.descontos?igsh=MTV0eG9kOWhrbThudw%3D%3D&amp;utm_source=qr" xr:uid="{00000000-0004-0000-0200-000044020000}"/>
    <hyperlink ref="E459" r:id="rId582" display="https://www.tiktok.com/@promodecasa.br?_t=ZS-90FHuUSN453&amp;_r=1" xr:uid="{00000000-0004-0000-0200-000045020000}"/>
    <hyperlink ref="C463" r:id="rId583" display="https://www.instagram.com/oapecentoedois?igsh=a3JheHB5ZzA3aW1q&amp;utm_source=qr" xr:uid="{00000000-0004-0000-0200-000046020000}"/>
    <hyperlink ref="E463" r:id="rId584" display="https://www.tiktok.com/@oapecentoedois?_t=ZM-90FIBZQKrCS&amp;_r=1" xr:uid="{00000000-0004-0000-0200-000047020000}"/>
    <hyperlink ref="C464" r:id="rId585" display="https://www.instagram.com/fabicdorneles/" xr:uid="{00000000-0004-0000-0200-000048020000}"/>
    <hyperlink ref="C465" r:id="rId586" display="https://www.instagram.com/agentedasofertas?igsh=MWo3cjJsNHdwdHVjYQ==" xr:uid="{00000000-0004-0000-0200-000049020000}"/>
    <hyperlink ref="E465" r:id="rId587" display="https://www.tiktok.com/@agentedasofertas?_t=ZM-8ydVMkLT2kn&amp;_r=1" xr:uid="{00000000-0004-0000-0200-00004A020000}"/>
    <hyperlink ref="C466" r:id="rId588" display="https://www.instagram.com/achadosdasamm?igsh=MTQxcGdkMTc1YW80aQ%3D%3D&amp;utm_source=qr" xr:uid="{00000000-0004-0000-0200-00004B020000}"/>
    <hyperlink ref="E466" r:id="rId589" display="https://www.tiktok.com/@achadosdasamm?_t=ZM-8ygs31DF8TQ&amp;_r=1" xr:uid="{00000000-0004-0000-0200-00004C020000}"/>
    <hyperlink ref="C468" r:id="rId590" display="https://www.instagram.com/jubabyofertas/" xr:uid="{00000000-0004-0000-0200-00004D020000}"/>
    <hyperlink ref="C469" r:id="rId591" display="https://www.instagram.com/hellenzinhagomees?igsh=NjBmcjBuZ21uNHh4" xr:uid="{00000000-0004-0000-0200-00004E020000}"/>
    <hyperlink ref="E469" r:id="rId592" display="https://www.tiktok.com/@dicasdegarotaofc?_t=ZM-8y4pHI6Izf6&amp;_r=1" xr:uid="{00000000-0004-0000-0200-00004F020000}"/>
    <hyperlink ref="C470" r:id="rId593" display="https://s.shopee.com.br/z5oydPrs" xr:uid="{00000000-0004-0000-0200-000050020000}"/>
    <hyperlink ref="E470" r:id="rId594" display="https://www.tiktok.com/@indicacupons?_t=ZM-8xhQK0JEH4y&amp;_r=1" xr:uid="{00000000-0004-0000-0200-000051020000}"/>
    <hyperlink ref="E472" r:id="rId595" display="https://www.tiktok.com/@eaiqualcomprar.br" xr:uid="{00000000-0004-0000-0200-000052020000}"/>
    <hyperlink ref="C475" r:id="rId596" display="https://www.instagram.com/doguinhopromo?igsh=eWVuaWNmbzZ4enlu" xr:uid="{00000000-0004-0000-0200-00005302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Tech e Cross</vt:lpstr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Joao Miguel Gollucci</cp:lastModifiedBy>
  <dcterms:created xsi:type="dcterms:W3CDTF">2025-11-04T19:22:15Z</dcterms:created>
  <dcterms:modified xsi:type="dcterms:W3CDTF">2025-11-04T20:17:04Z</dcterms:modified>
</cp:coreProperties>
</file>